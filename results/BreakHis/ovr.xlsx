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ustafa Adil\ovr\5-folds breakhis\"/>
    </mc:Choice>
  </mc:AlternateContent>
  <xr:revisionPtr revIDLastSave="0" documentId="13_ncr:1_{4A6DB676-3767-4153-88C5-0FC2F32F1F90}" xr6:coauthVersionLast="47" xr6:coauthVersionMax="47" xr10:uidLastSave="{00000000-0000-0000-0000-000000000000}"/>
  <bookViews>
    <workbookView xWindow="-110" yWindow="-110" windowWidth="25820" windowHeight="13900" activeTab="5" xr2:uid="{F647146F-A053-4588-8673-B0D4CB881B12}"/>
  </bookViews>
  <sheets>
    <sheet name="fold 1" sheetId="1" r:id="rId1"/>
    <sheet name="fold 2" sheetId="2" r:id="rId2"/>
    <sheet name="fold 3" sheetId="3" r:id="rId3"/>
    <sheet name="fold 4" sheetId="4" r:id="rId4"/>
    <sheet name="fold 5" sheetId="5" r:id="rId5"/>
    <sheet name="summery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6" l="1"/>
  <c r="C7" i="6"/>
  <c r="D7" i="6"/>
  <c r="E7" i="6"/>
  <c r="F7" i="6"/>
  <c r="G7" i="6"/>
  <c r="H7" i="6"/>
  <c r="I7" i="6"/>
  <c r="J7" i="6"/>
  <c r="C6" i="6"/>
  <c r="D6" i="6"/>
  <c r="E6" i="6"/>
  <c r="F6" i="6"/>
  <c r="G6" i="6"/>
  <c r="H6" i="6"/>
  <c r="I6" i="6"/>
  <c r="J6" i="6"/>
  <c r="B6" i="6"/>
  <c r="B3" i="6"/>
  <c r="C3" i="6"/>
  <c r="D3" i="6"/>
  <c r="E3" i="6"/>
  <c r="F3" i="6"/>
  <c r="G3" i="6"/>
  <c r="H3" i="6"/>
  <c r="I3" i="6"/>
  <c r="J3" i="6"/>
  <c r="C2" i="6"/>
  <c r="D2" i="6"/>
  <c r="E2" i="6"/>
  <c r="F2" i="6"/>
  <c r="G2" i="6"/>
  <c r="H2" i="6"/>
  <c r="I2" i="6"/>
  <c r="J2" i="6"/>
  <c r="B2" i="6"/>
  <c r="M3" i="6"/>
  <c r="N3" i="6"/>
  <c r="O3" i="6"/>
  <c r="P3" i="6"/>
  <c r="Q3" i="6"/>
  <c r="R3" i="6"/>
  <c r="S3" i="6"/>
  <c r="T3" i="6"/>
  <c r="U3" i="6"/>
  <c r="N2" i="6"/>
  <c r="O2" i="6"/>
  <c r="P2" i="6"/>
  <c r="Q2" i="6"/>
  <c r="R2" i="6"/>
  <c r="S2" i="6"/>
  <c r="T2" i="6"/>
  <c r="U2" i="6"/>
  <c r="M2" i="6"/>
</calcChain>
</file>

<file path=xl/sharedStrings.xml><?xml version="1.0" encoding="utf-8"?>
<sst xmlns="http://schemas.openxmlformats.org/spreadsheetml/2006/main" count="156" uniqueCount="28">
  <si>
    <t>Model</t>
  </si>
  <si>
    <t>Accuracy</t>
  </si>
  <si>
    <t>Precision</t>
  </si>
  <si>
    <t>Recall</t>
  </si>
  <si>
    <t>F1 Score</t>
  </si>
  <si>
    <t>Jaccard Index</t>
  </si>
  <si>
    <t>Matthews CorrCoef</t>
  </si>
  <si>
    <t>Cohen’s Kappa</t>
  </si>
  <si>
    <t>Specificity</t>
  </si>
  <si>
    <t>AUC</t>
  </si>
  <si>
    <t>ET-OvR</t>
  </si>
  <si>
    <t>RF-OvR</t>
  </si>
  <si>
    <t>91.83±0.74%</t>
  </si>
  <si>
    <t>92.48±0.55%</t>
  </si>
  <si>
    <t>91.90±0.72%</t>
  </si>
  <si>
    <t>85.30±1.19%</t>
  </si>
  <si>
    <t>89.64±0.87%</t>
  </si>
  <si>
    <t>89.48±0.91%</t>
  </si>
  <si>
    <t>98.77±0.11%</t>
  </si>
  <si>
    <t>99.90±0.09%</t>
  </si>
  <si>
    <t>89.73±0.94%</t>
  </si>
  <si>
    <t>90.99±0.73%</t>
  </si>
  <si>
    <t>89.84±0.92%</t>
  </si>
  <si>
    <t>81.86±1.47%</t>
  </si>
  <si>
    <t>87.26±1.08%</t>
  </si>
  <si>
    <t>86.91±1.15%</t>
  </si>
  <si>
    <t>98.50±0.14%</t>
  </si>
  <si>
    <t>99.88±0.13%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</si>
</sst>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B220D-20C7-4B86-9507-A27C8E6FCDD4}">
  <dimension ref="A1:J3"/>
  <sheetViews>
    <sheetView workbookViewId="0">
      <selection sqref="A1:J3"/>
    </sheetView>
  </sheetViews>
  <sheetFormatPr defaultRowHeight="14.5" x14ac:dyDescent="0.35"/>
  <sheetData>
    <row r="1" spans="1:10" ht="43.5" x14ac:dyDescent="0.3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5">
      <c r="A2" s="4" t="s">
        <v>10</v>
      </c>
      <c r="B2" s="2">
        <v>0.92541087231352703</v>
      </c>
      <c r="C2" s="2">
        <v>0.92992757220032696</v>
      </c>
      <c r="D2" s="2">
        <v>0.92541087231352703</v>
      </c>
      <c r="E2" s="2">
        <v>0.92590126747267798</v>
      </c>
      <c r="F2" s="2">
        <v>0.86380435567430203</v>
      </c>
      <c r="G2" s="2">
        <v>0.90489366246173597</v>
      </c>
      <c r="H2" s="2">
        <v>0.90361070032963497</v>
      </c>
      <c r="I2" s="2">
        <v>0.98893272785719699</v>
      </c>
      <c r="J2" s="2">
        <v>0.99878101247669504</v>
      </c>
    </row>
    <row r="3" spans="1:10" x14ac:dyDescent="0.35">
      <c r="A3" s="4" t="s">
        <v>11</v>
      </c>
      <c r="B3" s="2">
        <v>0.91403286978508202</v>
      </c>
      <c r="C3" s="2">
        <v>0.92329959067785194</v>
      </c>
      <c r="D3" s="2">
        <v>0.91403286978508202</v>
      </c>
      <c r="E3" s="2">
        <v>0.91496109123407499</v>
      </c>
      <c r="F3" s="2">
        <v>0.84480464110672404</v>
      </c>
      <c r="G3" s="2">
        <v>0.892324846237738</v>
      </c>
      <c r="H3" s="2">
        <v>0.88980713995976402</v>
      </c>
      <c r="I3" s="2">
        <v>0.9877536342123</v>
      </c>
      <c r="J3" s="2">
        <v>0.99916343993498702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28636-6F36-4F33-80FE-3AFFDDD59C2F}">
  <dimension ref="A1:J3"/>
  <sheetViews>
    <sheetView workbookViewId="0">
      <selection sqref="A1:J3"/>
    </sheetView>
  </sheetViews>
  <sheetFormatPr defaultRowHeight="14.5" x14ac:dyDescent="0.35"/>
  <sheetData>
    <row r="1" spans="1:10" ht="43.5" x14ac:dyDescent="0.3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5">
      <c r="A2" s="4" t="s">
        <v>10</v>
      </c>
      <c r="B2" s="2">
        <v>0.91529709228824196</v>
      </c>
      <c r="C2" s="2">
        <v>0.92171455731069196</v>
      </c>
      <c r="D2" s="2">
        <v>0.91529709228824196</v>
      </c>
      <c r="E2" s="2">
        <v>0.91577510698467002</v>
      </c>
      <c r="F2" s="2">
        <v>0.84862000793075898</v>
      </c>
      <c r="G2" s="2">
        <v>0.89313112218209401</v>
      </c>
      <c r="H2" s="2">
        <v>0.89117748519519302</v>
      </c>
      <c r="I2" s="2">
        <v>0.98725189903982802</v>
      </c>
      <c r="J2" s="2">
        <v>0.99978488455471104</v>
      </c>
    </row>
    <row r="3" spans="1:10" x14ac:dyDescent="0.35">
      <c r="A3" s="4" t="s">
        <v>11</v>
      </c>
      <c r="B3" s="2">
        <v>0.89759797724399404</v>
      </c>
      <c r="C3" s="2">
        <v>0.911801796482128</v>
      </c>
      <c r="D3" s="2">
        <v>0.89759797724399404</v>
      </c>
      <c r="E3" s="2">
        <v>0.89860061889416398</v>
      </c>
      <c r="F3" s="2">
        <v>0.81943898862009401</v>
      </c>
      <c r="G3" s="2">
        <v>0.87390949922058503</v>
      </c>
      <c r="H3" s="2">
        <v>0.869828892780665</v>
      </c>
      <c r="I3" s="2">
        <v>0.98520170948207797</v>
      </c>
      <c r="J3" s="2">
        <v>0.99971317940628102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F3895-5059-465D-A150-5DC3FFE7D224}">
  <dimension ref="A1:J3"/>
  <sheetViews>
    <sheetView workbookViewId="0">
      <selection sqref="A1:J3"/>
    </sheetView>
  </sheetViews>
  <sheetFormatPr defaultRowHeight="14.5" x14ac:dyDescent="0.35"/>
  <sheetData>
    <row r="1" spans="1:10" ht="43.5" x14ac:dyDescent="0.3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5">
      <c r="A2" s="4" t="s">
        <v>10</v>
      </c>
      <c r="B2" s="2">
        <v>0.91529709228824196</v>
      </c>
      <c r="C2" s="2">
        <v>0.925733517549443</v>
      </c>
      <c r="D2" s="2">
        <v>0.91529709228824196</v>
      </c>
      <c r="E2" s="2">
        <v>0.91648975613016903</v>
      </c>
      <c r="F2" s="2">
        <v>0.84809183535554</v>
      </c>
      <c r="G2" s="2">
        <v>0.89399384150943295</v>
      </c>
      <c r="H2" s="2">
        <v>0.89143918816497203</v>
      </c>
      <c r="I2" s="2">
        <v>0.98769403386681998</v>
      </c>
      <c r="J2" s="2">
        <v>0.99729910607581596</v>
      </c>
    </row>
    <row r="3" spans="1:10" x14ac:dyDescent="0.35">
      <c r="A3" s="4" t="s">
        <v>11</v>
      </c>
      <c r="B3" s="2">
        <v>0.89127686472819201</v>
      </c>
      <c r="C3" s="2">
        <v>0.906480619310848</v>
      </c>
      <c r="D3" s="2">
        <v>0.89127686472819201</v>
      </c>
      <c r="E3" s="2">
        <v>0.89309128810355698</v>
      </c>
      <c r="F3" s="2">
        <v>0.81050278343183502</v>
      </c>
      <c r="G3" s="2">
        <v>0.86547030301648797</v>
      </c>
      <c r="H3" s="2">
        <v>0.86160440906307401</v>
      </c>
      <c r="I3" s="2">
        <v>0.98421881530799704</v>
      </c>
      <c r="J3" s="2">
        <v>0.99617572541708399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13633-CF12-4D2A-B122-0C227B36B762}">
  <dimension ref="A1:J3"/>
  <sheetViews>
    <sheetView workbookViewId="0">
      <selection sqref="A1:J3"/>
    </sheetView>
  </sheetViews>
  <sheetFormatPr defaultRowHeight="14.5" x14ac:dyDescent="0.35"/>
  <sheetData>
    <row r="1" spans="1:10" ht="43.5" x14ac:dyDescent="0.3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5">
      <c r="A2" s="4" t="s">
        <v>10</v>
      </c>
      <c r="B2" s="2">
        <v>0.907711757269279</v>
      </c>
      <c r="C2" s="2">
        <v>0.91574580542621797</v>
      </c>
      <c r="D2" s="2">
        <v>0.907711757269279</v>
      </c>
      <c r="E2" s="2">
        <v>0.90867028085813195</v>
      </c>
      <c r="F2" s="2">
        <v>0.83577818325056297</v>
      </c>
      <c r="G2" s="2">
        <v>0.883186589577861</v>
      </c>
      <c r="H2" s="2">
        <v>0.88130471693652901</v>
      </c>
      <c r="I2" s="2">
        <v>0.98600880707150196</v>
      </c>
      <c r="J2" s="2">
        <v>0.99978488455471104</v>
      </c>
    </row>
    <row r="3" spans="1:10" x14ac:dyDescent="0.35">
      <c r="A3" s="4" t="s">
        <v>11</v>
      </c>
      <c r="B3" s="2">
        <v>0.88621997471554903</v>
      </c>
      <c r="C3" s="2">
        <v>0.90311677310629401</v>
      </c>
      <c r="D3" s="2">
        <v>0.88621997471554903</v>
      </c>
      <c r="E3" s="2">
        <v>0.88720992987581904</v>
      </c>
      <c r="F3" s="2">
        <v>0.80031701444257997</v>
      </c>
      <c r="G3" s="2">
        <v>0.86075289121499399</v>
      </c>
      <c r="H3" s="2">
        <v>0.855877851468551</v>
      </c>
      <c r="I3" s="2">
        <v>0.98362373796990499</v>
      </c>
      <c r="J3" s="2">
        <v>0.99966537597399496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F4C68-EFB7-4481-8060-EF82EC658ED1}">
  <dimension ref="A1:J3"/>
  <sheetViews>
    <sheetView workbookViewId="0">
      <selection sqref="A1:J3"/>
    </sheetView>
  </sheetViews>
  <sheetFormatPr defaultRowHeight="14.5" x14ac:dyDescent="0.35"/>
  <sheetData>
    <row r="1" spans="1:10" ht="43.5" x14ac:dyDescent="0.3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5">
      <c r="A2" s="4" t="s">
        <v>10</v>
      </c>
      <c r="B2" s="2">
        <v>0.92784810126582196</v>
      </c>
      <c r="C2" s="2">
        <v>0.93064326413131704</v>
      </c>
      <c r="D2" s="2">
        <v>0.92784810126582196</v>
      </c>
      <c r="E2" s="2">
        <v>0.92824963618164003</v>
      </c>
      <c r="F2" s="2">
        <v>0.86875158083263304</v>
      </c>
      <c r="G2" s="2">
        <v>0.90697802843507602</v>
      </c>
      <c r="H2" s="2">
        <v>0.90633015137363704</v>
      </c>
      <c r="I2" s="2">
        <v>0.98875697104306304</v>
      </c>
      <c r="J2" s="2">
        <v>0.99956918216414103</v>
      </c>
    </row>
    <row r="3" spans="1:10" x14ac:dyDescent="0.35">
      <c r="A3" s="4" t="s">
        <v>11</v>
      </c>
      <c r="B3" s="2">
        <v>0.89746835443037898</v>
      </c>
      <c r="C3" s="2">
        <v>0.90492445451877301</v>
      </c>
      <c r="D3" s="2">
        <v>0.89746835443037898</v>
      </c>
      <c r="E3" s="2">
        <v>0.898196826905301</v>
      </c>
      <c r="F3" s="2">
        <v>0.81801489161971397</v>
      </c>
      <c r="G3" s="2">
        <v>0.87038958372202901</v>
      </c>
      <c r="H3" s="2">
        <v>0.86834877390923204</v>
      </c>
      <c r="I3" s="2">
        <v>0.98440730898790596</v>
      </c>
      <c r="J3" s="2">
        <v>0.99911443000406797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69B0A-DC37-4240-9B04-B3FA31818DD9}">
  <dimension ref="A1:U18"/>
  <sheetViews>
    <sheetView tabSelected="1" workbookViewId="0">
      <selection activeCell="L9" sqref="L9:N18"/>
    </sheetView>
  </sheetViews>
  <sheetFormatPr defaultRowHeight="14.5" x14ac:dyDescent="0.35"/>
  <cols>
    <col min="2" max="6" width="12" bestFit="1" customWidth="1"/>
    <col min="7" max="7" width="17.453125" bestFit="1" customWidth="1"/>
    <col min="8" max="8" width="13.36328125" bestFit="1" customWidth="1"/>
    <col min="9" max="10" width="12" bestFit="1" customWidth="1"/>
    <col min="13" max="13" width="10.36328125" bestFit="1" customWidth="1"/>
  </cols>
  <sheetData>
    <row r="1" spans="1:21" ht="43.5" x14ac:dyDescent="0.3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L1" s="1" t="s">
        <v>0</v>
      </c>
      <c r="M1" s="3" t="s">
        <v>1</v>
      </c>
      <c r="N1" s="3" t="s">
        <v>2</v>
      </c>
      <c r="O1" s="3" t="s">
        <v>3</v>
      </c>
      <c r="P1" s="3" t="s">
        <v>4</v>
      </c>
      <c r="Q1" s="3" t="s">
        <v>5</v>
      </c>
      <c r="R1" s="3" t="s">
        <v>6</v>
      </c>
      <c r="S1" s="3" t="s">
        <v>7</v>
      </c>
      <c r="T1" s="3" t="s">
        <v>8</v>
      </c>
      <c r="U1" s="3" t="s">
        <v>9</v>
      </c>
    </row>
    <row r="2" spans="1:21" x14ac:dyDescent="0.35">
      <c r="A2" s="4" t="s">
        <v>10</v>
      </c>
      <c r="B2" s="2">
        <f>AVERAGE('fold 1'!B2,'fold 2'!B2,'fold 3'!B2,'fold 4'!B2,'fold 5'!B2)</f>
        <v>0.91831298308502229</v>
      </c>
      <c r="C2" s="2">
        <f>AVERAGE('fold 1'!C2,'fold 2'!C2,'fold 3'!C2,'fold 4'!C2,'fold 5'!C2)</f>
        <v>0.92475294332359925</v>
      </c>
      <c r="D2" s="2">
        <f>AVERAGE('fold 1'!D2,'fold 2'!D2,'fold 3'!D2,'fold 4'!D2,'fold 5'!D2)</f>
        <v>0.91831298308502229</v>
      </c>
      <c r="E2" s="2">
        <f>AVERAGE('fold 1'!E2,'fold 2'!E2,'fold 3'!E2,'fold 4'!E2,'fold 5'!E2)</f>
        <v>0.91901720952545785</v>
      </c>
      <c r="F2" s="2">
        <f>AVERAGE('fold 1'!F2,'fold 2'!F2,'fold 3'!F2,'fold 4'!F2,'fold 5'!F2)</f>
        <v>0.85300919260875951</v>
      </c>
      <c r="G2" s="2">
        <f>AVERAGE('fold 1'!G2,'fold 2'!G2,'fold 3'!G2,'fold 4'!G2,'fold 5'!G2)</f>
        <v>0.89643664883324004</v>
      </c>
      <c r="H2" s="2">
        <f>AVERAGE('fold 1'!H2,'fold 2'!H2,'fold 3'!H2,'fold 4'!H2,'fold 5'!H2)</f>
        <v>0.89477244839999326</v>
      </c>
      <c r="I2" s="2">
        <f>AVERAGE('fold 1'!I2,'fold 2'!I2,'fold 3'!I2,'fold 4'!I2,'fold 5'!I2)</f>
        <v>0.98772888777568202</v>
      </c>
      <c r="J2" s="2">
        <f>AVERAGE('fold 1'!J2,'fold 2'!J2,'fold 3'!J2,'fold 4'!J2,'fold 5'!J2)</f>
        <v>0.99904381396521491</v>
      </c>
      <c r="L2" s="4" t="s">
        <v>10</v>
      </c>
      <c r="M2" s="2">
        <f>_xlfn.STDEV.P('fold 1'!B2,'fold 2'!B2,'fold 3'!B2,'fold 4'!B2,'fold 5'!B2)</f>
        <v>7.3739500081642893E-3</v>
      </c>
      <c r="N2" s="2">
        <f>_xlfn.STDEV.P('fold 1'!C2,'fold 2'!C2,'fold 3'!C2,'fold 4'!C2,'fold 5'!C2)</f>
        <v>5.5280107038239192E-3</v>
      </c>
      <c r="O2" s="2">
        <f>_xlfn.STDEV.P('fold 1'!D2,'fold 2'!D2,'fold 3'!D2,'fold 4'!D2,'fold 5'!D2)</f>
        <v>7.3739500081642893E-3</v>
      </c>
      <c r="P2" s="2">
        <f>_xlfn.STDEV.P('fold 1'!E2,'fold 2'!E2,'fold 3'!E2,'fold 4'!E2,'fold 5'!E2)</f>
        <v>7.1636043746083327E-3</v>
      </c>
      <c r="Q2" s="2">
        <f>_xlfn.STDEV.P('fold 1'!F2,'fold 2'!F2,'fold 3'!F2,'fold 4'!F2,'fold 5'!F2)</f>
        <v>1.1871911055920586E-2</v>
      </c>
      <c r="R2" s="2">
        <f>_xlfn.STDEV.P('fold 1'!G2,'fold 2'!G2,'fold 3'!G2,'fold 4'!G2,'fold 5'!G2)</f>
        <v>8.6614045945944303E-3</v>
      </c>
      <c r="S2" s="2">
        <f>_xlfn.STDEV.P('fold 1'!H2,'fold 2'!H2,'fold 3'!H2,'fold 4'!H2,'fold 5'!H2)</f>
        <v>9.1335575786110432E-3</v>
      </c>
      <c r="T2" s="2">
        <f>_xlfn.STDEV.P('fold 1'!I2,'fold 2'!I2,'fold 3'!I2,'fold 4'!I2,'fold 5'!I2)</f>
        <v>1.0671079443540792E-3</v>
      </c>
      <c r="U2" s="2">
        <f>_xlfn.STDEV.P('fold 1'!J2,'fold 2'!J2,'fold 3'!J2,'fold 4'!J2,'fold 5'!J2)</f>
        <v>9.4735982851019984E-4</v>
      </c>
    </row>
    <row r="3" spans="1:21" x14ac:dyDescent="0.35">
      <c r="A3" s="4" t="s">
        <v>11</v>
      </c>
      <c r="B3" s="2">
        <f>AVERAGE('fold 1'!B3,'fold 2'!B3,'fold 3'!B3,'fold 4'!B3,'fold 5'!B3)</f>
        <v>0.89731920818063915</v>
      </c>
      <c r="C3" s="2">
        <f>AVERAGE('fold 1'!C3,'fold 2'!C3,'fold 3'!C3,'fold 4'!C3,'fold 5'!C3)</f>
        <v>0.90992464681917906</v>
      </c>
      <c r="D3" s="2">
        <f>AVERAGE('fold 1'!D3,'fold 2'!D3,'fold 3'!D3,'fold 4'!D3,'fold 5'!D3)</f>
        <v>0.89731920818063915</v>
      </c>
      <c r="E3" s="2">
        <f>AVERAGE('fold 1'!E3,'fold 2'!E3,'fold 3'!E3,'fold 4'!E3,'fold 5'!E3)</f>
        <v>0.89841195100258309</v>
      </c>
      <c r="F3" s="2">
        <f>AVERAGE('fold 1'!F3,'fold 2'!F3,'fold 3'!F3,'fold 4'!F3,'fold 5'!F3)</f>
        <v>0.81861566384418938</v>
      </c>
      <c r="G3" s="2">
        <f>AVERAGE('fold 1'!G3,'fold 2'!G3,'fold 3'!G3,'fold 4'!G3,'fold 5'!G3)</f>
        <v>0.87256942468236676</v>
      </c>
      <c r="H3" s="2">
        <f>AVERAGE('fold 1'!H3,'fold 2'!H3,'fold 3'!H3,'fold 4'!H3,'fold 5'!H3)</f>
        <v>0.86909341343625712</v>
      </c>
      <c r="I3" s="2">
        <f>AVERAGE('fold 1'!I3,'fold 2'!I3,'fold 3'!I3,'fold 4'!I3,'fold 5'!I3)</f>
        <v>0.98504104119203717</v>
      </c>
      <c r="J3" s="2">
        <f>AVERAGE('fold 1'!J3,'fold 2'!J3,'fold 3'!J3,'fold 4'!J3,'fold 5'!J3)</f>
        <v>0.99876643014728295</v>
      </c>
      <c r="L3" s="4" t="s">
        <v>11</v>
      </c>
      <c r="M3" s="2">
        <f>_xlfn.STDEV.P('fold 1'!B3,'fold 2'!B3,'fold 3'!B3,'fold 4'!B3,'fold 5'!B3)</f>
        <v>9.3717590550785133E-3</v>
      </c>
      <c r="N3" s="2">
        <f>_xlfn.STDEV.P('fold 1'!C3,'fold 2'!C3,'fold 3'!C3,'fold 4'!C3,'fold 5'!C3)</f>
        <v>7.288665269986447E-3</v>
      </c>
      <c r="O3" s="2">
        <f>_xlfn.STDEV.P('fold 1'!D3,'fold 2'!D3,'fold 3'!D3,'fold 4'!D3,'fold 5'!D3)</f>
        <v>9.3717590550785133E-3</v>
      </c>
      <c r="P3" s="2">
        <f>_xlfn.STDEV.P('fold 1'!E3,'fold 2'!E3,'fold 3'!E3,'fold 4'!E3,'fold 5'!E3)</f>
        <v>9.2493312986579729E-3</v>
      </c>
      <c r="Q3" s="2">
        <f>_xlfn.STDEV.P('fold 1'!F3,'fold 2'!F3,'fold 3'!F3,'fold 4'!F3,'fold 5'!F3)</f>
        <v>1.4748292914897376E-2</v>
      </c>
      <c r="R3" s="2">
        <f>_xlfn.STDEV.P('fold 1'!G3,'fold 2'!G3,'fold 3'!G3,'fold 4'!G3,'fold 5'!G3)</f>
        <v>1.0833763693410192E-2</v>
      </c>
      <c r="S3" s="2">
        <f>_xlfn.STDEV.P('fold 1'!H3,'fold 2'!H3,'fold 3'!H3,'fold 4'!H3,'fold 5'!H3)</f>
        <v>1.1496870435085611E-2</v>
      </c>
      <c r="T3" s="2">
        <f>_xlfn.STDEV.P('fold 1'!I3,'fold 2'!I3,'fold 3'!I3,'fold 4'!I3,'fold 5'!I3)</f>
        <v>1.4470933299140112E-3</v>
      </c>
      <c r="U3" s="2">
        <f>_xlfn.STDEV.P('fold 1'!J3,'fold 2'!J3,'fold 3'!J3,'fold 4'!J3,'fold 5'!J3)</f>
        <v>1.3187046242208161E-3</v>
      </c>
    </row>
    <row r="5" spans="1:21" x14ac:dyDescent="0.35">
      <c r="A5" s="6" t="s">
        <v>0</v>
      </c>
      <c r="B5" s="7" t="s">
        <v>1</v>
      </c>
      <c r="C5" s="7" t="s">
        <v>2</v>
      </c>
      <c r="D5" s="7" t="s">
        <v>3</v>
      </c>
      <c r="E5" s="7" t="s">
        <v>4</v>
      </c>
      <c r="F5" s="7" t="s">
        <v>5</v>
      </c>
      <c r="G5" s="7" t="s">
        <v>6</v>
      </c>
      <c r="H5" s="7" t="s">
        <v>7</v>
      </c>
      <c r="I5" s="7" t="s">
        <v>8</v>
      </c>
      <c r="J5" s="7" t="s">
        <v>9</v>
      </c>
    </row>
    <row r="6" spans="1:21" x14ac:dyDescent="0.35">
      <c r="A6" s="8" t="s">
        <v>10</v>
      </c>
      <c r="B6" s="5" t="str">
        <f>_xlfn.CONCAT(TEXT(B2*100,"0.00"),"±",TEXT(M2*100,"0.00"),"%")</f>
        <v>91.83±0.74%</v>
      </c>
      <c r="C6" s="5" t="str">
        <f t="shared" ref="C6:J6" si="0">_xlfn.CONCAT(TEXT(C2*100,"0.00"),"±",TEXT(N2*100,"0.00"),"%")</f>
        <v>92.48±0.55%</v>
      </c>
      <c r="D6" s="5" t="str">
        <f t="shared" si="0"/>
        <v>91.83±0.74%</v>
      </c>
      <c r="E6" s="5" t="str">
        <f t="shared" si="0"/>
        <v>91.90±0.72%</v>
      </c>
      <c r="F6" s="5" t="str">
        <f t="shared" si="0"/>
        <v>85.30±1.19%</v>
      </c>
      <c r="G6" s="5" t="str">
        <f t="shared" si="0"/>
        <v>89.64±0.87%</v>
      </c>
      <c r="H6" s="5" t="str">
        <f t="shared" si="0"/>
        <v>89.48±0.91%</v>
      </c>
      <c r="I6" s="5" t="str">
        <f t="shared" si="0"/>
        <v>98.77±0.11%</v>
      </c>
      <c r="J6" s="5" t="str">
        <f t="shared" si="0"/>
        <v>99.90±0.09%</v>
      </c>
    </row>
    <row r="7" spans="1:21" x14ac:dyDescent="0.35">
      <c r="A7" s="8" t="s">
        <v>11</v>
      </c>
      <c r="B7" s="5" t="str">
        <f>_xlfn.CONCAT(TEXT(B3*100,"0.00"),"±",TEXT(M3*100,"0.00"),"%")</f>
        <v>89.73±0.94%</v>
      </c>
      <c r="C7" s="5" t="str">
        <f t="shared" ref="C7" si="1">_xlfn.CONCAT(TEXT(C3*100,"0.00"),"±",TEXT(N3*100,"0.00"),"%")</f>
        <v>90.99±0.73%</v>
      </c>
      <c r="D7" s="5" t="str">
        <f t="shared" ref="D7" si="2">_xlfn.CONCAT(TEXT(D3*100,"0.00"),"±",TEXT(O3*100,"0.00"),"%")</f>
        <v>89.73±0.94%</v>
      </c>
      <c r="E7" s="5" t="str">
        <f t="shared" ref="E7" si="3">_xlfn.CONCAT(TEXT(E3*100,"0.00"),"±",TEXT(P3*100,"0.00"),"%")</f>
        <v>89.84±0.92%</v>
      </c>
      <c r="F7" s="5" t="str">
        <f t="shared" ref="F7" si="4">_xlfn.CONCAT(TEXT(F3*100,"0.00"),"±",TEXT(Q3*100,"0.00"),"%")</f>
        <v>81.86±1.47%</v>
      </c>
      <c r="G7" s="5" t="str">
        <f t="shared" ref="G7" si="5">_xlfn.CONCAT(TEXT(G3*100,"0.00"),"±",TEXT(R3*100,"0.00"),"%")</f>
        <v>87.26±1.08%</v>
      </c>
      <c r="H7" s="5" t="str">
        <f t="shared" ref="H7" si="6">_xlfn.CONCAT(TEXT(H3*100,"0.00"),"±",TEXT(S3*100,"0.00"),"%")</f>
        <v>86.91±1.15%</v>
      </c>
      <c r="I7" s="5" t="str">
        <f t="shared" ref="I7" si="7">_xlfn.CONCAT(TEXT(I3*100,"0.00"),"±",TEXT(T3*100,"0.00"),"%")</f>
        <v>98.50±0.14%</v>
      </c>
      <c r="J7" s="5" t="str">
        <f t="shared" ref="J7" si="8">_xlfn.CONCAT(TEXT(J3*100,"0.00"),"±",TEXT(U3*100,"0.00"),"%")</f>
        <v>99.88±0.13%</v>
      </c>
    </row>
    <row r="9" spans="1:21" x14ac:dyDescent="0.35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7</v>
      </c>
      <c r="I9" t="s">
        <v>8</v>
      </c>
      <c r="J9" t="s">
        <v>9</v>
      </c>
      <c r="L9" t="s">
        <v>0</v>
      </c>
      <c r="M9" t="s">
        <v>10</v>
      </c>
      <c r="N9" t="s">
        <v>11</v>
      </c>
    </row>
    <row r="10" spans="1:21" x14ac:dyDescent="0.35">
      <c r="A10" t="s">
        <v>10</v>
      </c>
      <c r="B10" t="s">
        <v>12</v>
      </c>
      <c r="C10" t="s">
        <v>13</v>
      </c>
      <c r="D10" t="s">
        <v>12</v>
      </c>
      <c r="E10" t="s">
        <v>14</v>
      </c>
      <c r="F10" t="s">
        <v>15</v>
      </c>
      <c r="G10" t="s">
        <v>16</v>
      </c>
      <c r="H10" t="s">
        <v>17</v>
      </c>
      <c r="I10" t="s">
        <v>18</v>
      </c>
      <c r="J10" t="s">
        <v>19</v>
      </c>
      <c r="L10" t="s">
        <v>1</v>
      </c>
      <c r="M10" t="s">
        <v>12</v>
      </c>
      <c r="N10" t="s">
        <v>20</v>
      </c>
    </row>
    <row r="11" spans="1:21" x14ac:dyDescent="0.35">
      <c r="A11" t="s">
        <v>11</v>
      </c>
      <c r="B11" t="s">
        <v>20</v>
      </c>
      <c r="C11" t="s">
        <v>21</v>
      </c>
      <c r="D11" t="s">
        <v>20</v>
      </c>
      <c r="E11" t="s">
        <v>22</v>
      </c>
      <c r="F11" t="s">
        <v>23</v>
      </c>
      <c r="G11" t="s">
        <v>24</v>
      </c>
      <c r="H11" t="s">
        <v>25</v>
      </c>
      <c r="I11" t="s">
        <v>26</v>
      </c>
      <c r="J11" t="s">
        <v>27</v>
      </c>
      <c r="L11" t="s">
        <v>2</v>
      </c>
      <c r="M11" t="s">
        <v>13</v>
      </c>
      <c r="N11" t="s">
        <v>21</v>
      </c>
    </row>
    <row r="12" spans="1:21" x14ac:dyDescent="0.35">
      <c r="L12" t="s">
        <v>3</v>
      </c>
      <c r="M12" t="s">
        <v>12</v>
      </c>
      <c r="N12" t="s">
        <v>20</v>
      </c>
    </row>
    <row r="13" spans="1:21" x14ac:dyDescent="0.35">
      <c r="L13" t="s">
        <v>4</v>
      </c>
      <c r="M13" t="s">
        <v>14</v>
      </c>
      <c r="N13" t="s">
        <v>22</v>
      </c>
    </row>
    <row r="14" spans="1:21" x14ac:dyDescent="0.35">
      <c r="L14" t="s">
        <v>5</v>
      </c>
      <c r="M14" t="s">
        <v>15</v>
      </c>
      <c r="N14" t="s">
        <v>23</v>
      </c>
    </row>
    <row r="15" spans="1:21" x14ac:dyDescent="0.35">
      <c r="L15" t="s">
        <v>6</v>
      </c>
      <c r="M15" t="s">
        <v>16</v>
      </c>
      <c r="N15" t="s">
        <v>24</v>
      </c>
    </row>
    <row r="16" spans="1:21" x14ac:dyDescent="0.35">
      <c r="L16" t="s">
        <v>7</v>
      </c>
      <c r="M16" t="s">
        <v>17</v>
      </c>
      <c r="N16" t="s">
        <v>25</v>
      </c>
    </row>
    <row r="17" spans="12:14" x14ac:dyDescent="0.35">
      <c r="L17" t="s">
        <v>8</v>
      </c>
      <c r="M17" t="s">
        <v>18</v>
      </c>
      <c r="N17" t="s">
        <v>26</v>
      </c>
    </row>
    <row r="18" spans="12:14" x14ac:dyDescent="0.35">
      <c r="L18" t="s">
        <v>9</v>
      </c>
      <c r="M18" t="s">
        <v>19</v>
      </c>
      <c r="N18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fold 1</vt:lpstr>
      <vt:lpstr>fold 2</vt:lpstr>
      <vt:lpstr>fold 3</vt:lpstr>
      <vt:lpstr>fold 4</vt:lpstr>
      <vt:lpstr>fold 5</vt:lpstr>
      <vt:lpstr>summery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MSI</cp:lastModifiedBy>
  <dcterms:created xsi:type="dcterms:W3CDTF">2026-01-19T17:19:31Z</dcterms:created>
  <dcterms:modified xsi:type="dcterms:W3CDTF">2026-01-20T19:39:55Z</dcterms:modified>
</cp:coreProperties>
</file>