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ustafa Adil\ovr\5-folds breakhis\"/>
    </mc:Choice>
  </mc:AlternateContent>
  <xr:revisionPtr revIDLastSave="0" documentId="13_ncr:1_{56AF1535-3774-4880-8E8C-D4177B583C59}" xr6:coauthVersionLast="47" xr6:coauthVersionMax="47" xr10:uidLastSave="{00000000-0000-0000-0000-000000000000}"/>
  <bookViews>
    <workbookView xWindow="-110" yWindow="-110" windowWidth="25820" windowHeight="13900" activeTab="5" xr2:uid="{B59142C5-2566-4F41-801B-E1A34B217FC7}"/>
  </bookViews>
  <sheets>
    <sheet name="fold 1" sheetId="1" r:id="rId1"/>
    <sheet name="fold 2" sheetId="2" r:id="rId2"/>
    <sheet name="fold 3" sheetId="3" r:id="rId3"/>
    <sheet name="fold 4" sheetId="4" r:id="rId4"/>
    <sheet name="fold 5" sheetId="5" r:id="rId5"/>
    <sheet name="summer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6" l="1"/>
  <c r="B16" i="6"/>
  <c r="C16" i="6"/>
  <c r="D16" i="6"/>
  <c r="E16" i="6"/>
  <c r="F16" i="6"/>
  <c r="G16" i="6"/>
  <c r="H16" i="6"/>
  <c r="I16" i="6"/>
  <c r="J16" i="6"/>
  <c r="B17" i="6"/>
  <c r="C17" i="6"/>
  <c r="D17" i="6"/>
  <c r="E17" i="6"/>
  <c r="F17" i="6"/>
  <c r="G17" i="6"/>
  <c r="H17" i="6"/>
  <c r="I17" i="6"/>
  <c r="J17" i="6"/>
  <c r="C18" i="6"/>
  <c r="D18" i="6"/>
  <c r="E18" i="6"/>
  <c r="F18" i="6"/>
  <c r="G18" i="6"/>
  <c r="H18" i="6"/>
  <c r="I18" i="6"/>
  <c r="J18" i="6"/>
  <c r="B19" i="6"/>
  <c r="C19" i="6"/>
  <c r="D19" i="6"/>
  <c r="E19" i="6"/>
  <c r="F19" i="6"/>
  <c r="G19" i="6"/>
  <c r="H19" i="6"/>
  <c r="I19" i="6"/>
  <c r="J19" i="6"/>
  <c r="B20" i="6"/>
  <c r="C20" i="6"/>
  <c r="D20" i="6"/>
  <c r="E20" i="6"/>
  <c r="F20" i="6"/>
  <c r="G20" i="6"/>
  <c r="H20" i="6"/>
  <c r="I20" i="6"/>
  <c r="J20" i="6"/>
  <c r="B21" i="6"/>
  <c r="C21" i="6"/>
  <c r="D21" i="6"/>
  <c r="E21" i="6"/>
  <c r="F21" i="6"/>
  <c r="G21" i="6"/>
  <c r="H21" i="6"/>
  <c r="I21" i="6"/>
  <c r="J21" i="6"/>
  <c r="B22" i="6"/>
  <c r="C22" i="6"/>
  <c r="D22" i="6"/>
  <c r="E22" i="6"/>
  <c r="F22" i="6"/>
  <c r="G22" i="6"/>
  <c r="H22" i="6"/>
  <c r="I22" i="6"/>
  <c r="J22" i="6"/>
  <c r="C15" i="6"/>
  <c r="D15" i="6"/>
  <c r="E15" i="6"/>
  <c r="F15" i="6"/>
  <c r="G15" i="6"/>
  <c r="H15" i="6"/>
  <c r="I15" i="6"/>
  <c r="J15" i="6"/>
  <c r="B15" i="6"/>
  <c r="M3" i="6"/>
  <c r="N3" i="6"/>
  <c r="O3" i="6"/>
  <c r="P3" i="6"/>
  <c r="Q3" i="6"/>
  <c r="R3" i="6"/>
  <c r="S3" i="6"/>
  <c r="T3" i="6"/>
  <c r="U3" i="6"/>
  <c r="M4" i="6"/>
  <c r="N4" i="6"/>
  <c r="O4" i="6"/>
  <c r="P4" i="6"/>
  <c r="Q4" i="6"/>
  <c r="R4" i="6"/>
  <c r="S4" i="6"/>
  <c r="T4" i="6"/>
  <c r="U4" i="6"/>
  <c r="M5" i="6"/>
  <c r="N5" i="6"/>
  <c r="O5" i="6"/>
  <c r="P5" i="6"/>
  <c r="Q5" i="6"/>
  <c r="R5" i="6"/>
  <c r="S5" i="6"/>
  <c r="T5" i="6"/>
  <c r="U5" i="6"/>
  <c r="M6" i="6"/>
  <c r="N6" i="6"/>
  <c r="O6" i="6"/>
  <c r="P6" i="6"/>
  <c r="Q6" i="6"/>
  <c r="R6" i="6"/>
  <c r="S6" i="6"/>
  <c r="T6" i="6"/>
  <c r="U6" i="6"/>
  <c r="M7" i="6"/>
  <c r="N7" i="6"/>
  <c r="O7" i="6"/>
  <c r="P7" i="6"/>
  <c r="Q7" i="6"/>
  <c r="R7" i="6"/>
  <c r="S7" i="6"/>
  <c r="T7" i="6"/>
  <c r="U7" i="6"/>
  <c r="M8" i="6"/>
  <c r="N8" i="6"/>
  <c r="O8" i="6"/>
  <c r="P8" i="6"/>
  <c r="Q8" i="6"/>
  <c r="R8" i="6"/>
  <c r="S8" i="6"/>
  <c r="T8" i="6"/>
  <c r="U8" i="6"/>
  <c r="M9" i="6"/>
  <c r="N9" i="6"/>
  <c r="O9" i="6"/>
  <c r="P9" i="6"/>
  <c r="Q9" i="6"/>
  <c r="R9" i="6"/>
  <c r="S9" i="6"/>
  <c r="T9" i="6"/>
  <c r="U9" i="6"/>
  <c r="N2" i="6"/>
  <c r="O2" i="6"/>
  <c r="P2" i="6"/>
  <c r="Q2" i="6"/>
  <c r="R2" i="6"/>
  <c r="S2" i="6"/>
  <c r="T2" i="6"/>
  <c r="U2" i="6"/>
  <c r="M2" i="6"/>
  <c r="B3" i="6"/>
  <c r="C3" i="6"/>
  <c r="D3" i="6"/>
  <c r="E3" i="6"/>
  <c r="F3" i="6"/>
  <c r="G3" i="6"/>
  <c r="H3" i="6"/>
  <c r="I3" i="6"/>
  <c r="J3" i="6"/>
  <c r="B4" i="6"/>
  <c r="C4" i="6"/>
  <c r="D4" i="6"/>
  <c r="E4" i="6"/>
  <c r="F4" i="6"/>
  <c r="G4" i="6"/>
  <c r="H4" i="6"/>
  <c r="I4" i="6"/>
  <c r="J4" i="6"/>
  <c r="B5" i="6"/>
  <c r="C5" i="6"/>
  <c r="D5" i="6"/>
  <c r="E5" i="6"/>
  <c r="F5" i="6"/>
  <c r="G5" i="6"/>
  <c r="H5" i="6"/>
  <c r="I5" i="6"/>
  <c r="J5" i="6"/>
  <c r="B6" i="6"/>
  <c r="C6" i="6"/>
  <c r="D6" i="6"/>
  <c r="E6" i="6"/>
  <c r="F6" i="6"/>
  <c r="G6" i="6"/>
  <c r="H6" i="6"/>
  <c r="I6" i="6"/>
  <c r="J6" i="6"/>
  <c r="B7" i="6"/>
  <c r="C7" i="6"/>
  <c r="D7" i="6"/>
  <c r="E7" i="6"/>
  <c r="F7" i="6"/>
  <c r="G7" i="6"/>
  <c r="H7" i="6"/>
  <c r="I7" i="6"/>
  <c r="J7" i="6"/>
  <c r="B8" i="6"/>
  <c r="C8" i="6"/>
  <c r="D8" i="6"/>
  <c r="E8" i="6"/>
  <c r="F8" i="6"/>
  <c r="G8" i="6"/>
  <c r="H8" i="6"/>
  <c r="I8" i="6"/>
  <c r="J8" i="6"/>
  <c r="B9" i="6"/>
  <c r="C9" i="6"/>
  <c r="D9" i="6"/>
  <c r="E9" i="6"/>
  <c r="F9" i="6"/>
  <c r="G9" i="6"/>
  <c r="H9" i="6"/>
  <c r="I9" i="6"/>
  <c r="J9" i="6"/>
  <c r="C2" i="6"/>
  <c r="D2" i="6"/>
  <c r="E2" i="6"/>
  <c r="F2" i="6"/>
  <c r="G2" i="6"/>
  <c r="H2" i="6"/>
  <c r="I2" i="6"/>
  <c r="J2" i="6"/>
  <c r="B2" i="6"/>
</calcChain>
</file>

<file path=xl/sharedStrings.xml><?xml version="1.0" encoding="utf-8"?>
<sst xmlns="http://schemas.openxmlformats.org/spreadsheetml/2006/main" count="304" uniqueCount="76">
  <si>
    <t>Model</t>
  </si>
  <si>
    <t>Accuracy</t>
  </si>
  <si>
    <t>Precision</t>
  </si>
  <si>
    <t>Recall</t>
  </si>
  <si>
    <t>F1 Score</t>
  </si>
  <si>
    <t>Jaccard Index</t>
  </si>
  <si>
    <t>Matthews CorrCoef</t>
  </si>
  <si>
    <t>Cohen’s Kappa</t>
  </si>
  <si>
    <t>Specificity</t>
  </si>
  <si>
    <t>AUC</t>
  </si>
  <si>
    <t>Random Forest</t>
  </si>
  <si>
    <t>K-Nearest Neighbors</t>
  </si>
  <si>
    <t>Decision Tree</t>
  </si>
  <si>
    <t>Extra Trees</t>
  </si>
  <si>
    <t>Bagging Classifier</t>
  </si>
  <si>
    <t>XGBoost</t>
  </si>
  <si>
    <t>LightGBM</t>
  </si>
  <si>
    <t>CatBoost</t>
  </si>
  <si>
    <t>92.92±1.57%</t>
  </si>
  <si>
    <t>95.08±0.81%</t>
  </si>
  <si>
    <t>93.54±1.32%</t>
  </si>
  <si>
    <t>89.07±1.99%</t>
  </si>
  <si>
    <t>91.23±1.79%</t>
  </si>
  <si>
    <t>90.91±1.95%</t>
  </si>
  <si>
    <t>98.94±0.22%</t>
  </si>
  <si>
    <t>100.00±0.00%</t>
  </si>
  <si>
    <t>69.20±0.94%</t>
  </si>
  <si>
    <t>75.38±1.07%</t>
  </si>
  <si>
    <t>69.07±1.06%</t>
  </si>
  <si>
    <t>53.06±1.23%</t>
  </si>
  <si>
    <t>64.45±1.11%</t>
  </si>
  <si>
    <t>62.75±1.09%</t>
  </si>
  <si>
    <t>95.61±0.15%</t>
  </si>
  <si>
    <t>98.87±0.47%</t>
  </si>
  <si>
    <t>75.30±1.48%</t>
  </si>
  <si>
    <t>87.62±0.57%</t>
  </si>
  <si>
    <t>78.64±1.35%</t>
  </si>
  <si>
    <t>70.39±1.42%</t>
  </si>
  <si>
    <t>72.90±1.28%</t>
  </si>
  <si>
    <t>70.03±1.62%</t>
  </si>
  <si>
    <t>96.35±0.21%</t>
  </si>
  <si>
    <t>97.70±0.60%</t>
  </si>
  <si>
    <t>97.76±0.60%</t>
  </si>
  <si>
    <t>97.72±0.59%</t>
  </si>
  <si>
    <t>95.77±1.03%</t>
  </si>
  <si>
    <t>96.99±0.78%</t>
  </si>
  <si>
    <t>96.98±0.78%</t>
  </si>
  <si>
    <t>99.61±0.11%</t>
  </si>
  <si>
    <t>75.20±1.47%</t>
  </si>
  <si>
    <t>87.79±0.57%</t>
  </si>
  <si>
    <t>78.49±1.35%</t>
  </si>
  <si>
    <t>70.14±1.36%</t>
  </si>
  <si>
    <t>72.98±1.27%</t>
  </si>
  <si>
    <t>69.97±1.61%</t>
  </si>
  <si>
    <t>75.65±1.24%</t>
  </si>
  <si>
    <t>88.55±0.42%</t>
  </si>
  <si>
    <t>78.90±1.17%</t>
  </si>
  <si>
    <t>70.59±1.24%</t>
  </si>
  <si>
    <t>73.70±0.98%</t>
  </si>
  <si>
    <t>70.55±1.34%</t>
  </si>
  <si>
    <t>96.45±0.17%</t>
  </si>
  <si>
    <t>79.32±1.45%</t>
  </si>
  <si>
    <t>89.40±0.41%</t>
  </si>
  <si>
    <t>82.18±1.25%</t>
  </si>
  <si>
    <t>74.23±1.45%</t>
  </si>
  <si>
    <t>76.74±1.27%</t>
  </si>
  <si>
    <t>74.58±1.62%</t>
  </si>
  <si>
    <t>96.94±0.20%</t>
  </si>
  <si>
    <t>Metrics</t>
  </si>
  <si>
    <t>RF</t>
  </si>
  <si>
    <t>KNN</t>
  </si>
  <si>
    <t>DT</t>
  </si>
  <si>
    <t>ET</t>
  </si>
  <si>
    <t>Bagging</t>
  </si>
  <si>
    <t>XGB</t>
  </si>
  <si>
    <t>LGB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</si>
</sst>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0" fontId="2" fillId="0" borderId="0" xfId="1" applyNumberFormat="1" applyFont="1" applyAlignment="1">
      <alignment horizontal="right" vertical="center" wrapText="1"/>
    </xf>
    <xf numFmtId="10" fontId="0" fillId="0" borderId="0" xfId="1" applyNumberFormat="1" applyFont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10" fontId="2" fillId="0" borderId="0" xfId="1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10" fontId="0" fillId="0" borderId="0" xfId="1" applyNumberFormat="1" applyFont="1" applyAlignment="1">
      <alignment horizontal="right" vertical="center"/>
    </xf>
    <xf numFmtId="0" fontId="2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5D3A2-AD98-440B-9C20-EB103807FD50}">
  <dimension ref="A1:J9"/>
  <sheetViews>
    <sheetView workbookViewId="0">
      <selection sqref="A1:J9"/>
    </sheetView>
  </sheetViews>
  <sheetFormatPr defaultRowHeight="14.5" x14ac:dyDescent="0.35"/>
  <sheetData>
    <row r="1" spans="1:10" ht="43.5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9" x14ac:dyDescent="0.35">
      <c r="A2" s="4" t="s">
        <v>10</v>
      </c>
      <c r="B2" s="2">
        <v>0.90391908975979696</v>
      </c>
      <c r="C2" s="2">
        <v>0.935452448502194</v>
      </c>
      <c r="D2" s="2">
        <v>0.90391908975979696</v>
      </c>
      <c r="E2" s="2">
        <v>0.91344706238190398</v>
      </c>
      <c r="F2" s="2">
        <v>0.85838312658920002</v>
      </c>
      <c r="G2" s="2">
        <v>0.88193734782039901</v>
      </c>
      <c r="H2" s="2">
        <v>0.87727295926179205</v>
      </c>
      <c r="I2" s="2">
        <v>0.98554311261164795</v>
      </c>
      <c r="J2" s="2">
        <v>1</v>
      </c>
    </row>
    <row r="3" spans="1:10" ht="58" x14ac:dyDescent="0.35">
      <c r="A3" s="4" t="s">
        <v>11</v>
      </c>
      <c r="B3" s="2">
        <v>0.69152970922882395</v>
      </c>
      <c r="C3" s="2">
        <v>0.75393688720445795</v>
      </c>
      <c r="D3" s="2">
        <v>0.69152970922882395</v>
      </c>
      <c r="E3" s="2">
        <v>0.687622666611447</v>
      </c>
      <c r="F3" s="2">
        <v>0.52769219299221504</v>
      </c>
      <c r="G3" s="2">
        <v>0.64644424927683597</v>
      </c>
      <c r="H3" s="2">
        <v>0.62831667533267799</v>
      </c>
      <c r="I3" s="2">
        <v>0.95599635998305499</v>
      </c>
      <c r="J3" s="2">
        <v>0.99195821185617095</v>
      </c>
    </row>
    <row r="4" spans="1:10" ht="29" x14ac:dyDescent="0.35">
      <c r="A4" s="4" t="s">
        <v>12</v>
      </c>
      <c r="B4" s="2">
        <v>0.74083438685208503</v>
      </c>
      <c r="C4" s="2">
        <v>0.87493415507796002</v>
      </c>
      <c r="D4" s="2">
        <v>0.74083438685208503</v>
      </c>
      <c r="E4" s="2">
        <v>0.77497568496185798</v>
      </c>
      <c r="F4" s="2">
        <v>0.69152820255924796</v>
      </c>
      <c r="G4" s="2">
        <v>0.72053439941345399</v>
      </c>
      <c r="H4" s="2">
        <v>0.68748072712695396</v>
      </c>
      <c r="I4" s="2">
        <v>0.96197811437441405</v>
      </c>
      <c r="J4" s="2">
        <v>1</v>
      </c>
    </row>
    <row r="5" spans="1:10" ht="29" x14ac:dyDescent="0.35">
      <c r="A5" s="4" t="s">
        <v>13</v>
      </c>
      <c r="B5" s="2">
        <v>0.97345132743362806</v>
      </c>
      <c r="C5" s="2">
        <v>0.97360404734455797</v>
      </c>
      <c r="D5" s="2">
        <v>0.97345132743362806</v>
      </c>
      <c r="E5" s="2">
        <v>0.97350182799347096</v>
      </c>
      <c r="F5" s="2">
        <v>0.950923055434992</v>
      </c>
      <c r="G5" s="2">
        <v>0.96516065459362099</v>
      </c>
      <c r="H5" s="2">
        <v>0.96514687368862695</v>
      </c>
      <c r="I5" s="2">
        <v>0.99542542426269398</v>
      </c>
      <c r="J5" s="2">
        <v>1</v>
      </c>
    </row>
    <row r="6" spans="1:10" ht="29" x14ac:dyDescent="0.35">
      <c r="A6" s="4" t="s">
        <v>14</v>
      </c>
      <c r="B6" s="2">
        <v>0.74083438685208503</v>
      </c>
      <c r="C6" s="2">
        <v>0.87566021486760404</v>
      </c>
      <c r="D6" s="2">
        <v>0.74083438685208503</v>
      </c>
      <c r="E6" s="2">
        <v>0.77421767047047596</v>
      </c>
      <c r="F6" s="2">
        <v>0.68995401020567104</v>
      </c>
      <c r="G6" s="2">
        <v>0.72150664955275101</v>
      </c>
      <c r="H6" s="2">
        <v>0.68779662256998098</v>
      </c>
      <c r="I6" s="2">
        <v>0.962076961081477</v>
      </c>
      <c r="J6" s="2">
        <v>1</v>
      </c>
    </row>
    <row r="7" spans="1:10" x14ac:dyDescent="0.35">
      <c r="A7" s="4" t="s">
        <v>15</v>
      </c>
      <c r="B7" s="2">
        <v>0.74462705436156695</v>
      </c>
      <c r="C7" s="2">
        <v>0.87986320518943995</v>
      </c>
      <c r="D7" s="2">
        <v>0.74462705436156695</v>
      </c>
      <c r="E7" s="2">
        <v>0.77816857557974894</v>
      </c>
      <c r="F7" s="2">
        <v>0.69447943379140498</v>
      </c>
      <c r="G7" s="2">
        <v>0.72593259423994105</v>
      </c>
      <c r="H7" s="2">
        <v>0.69222145600659502</v>
      </c>
      <c r="I7" s="2">
        <v>0.96271035578771003</v>
      </c>
      <c r="J7" s="2">
        <v>1</v>
      </c>
    </row>
    <row r="8" spans="1:10" ht="29" x14ac:dyDescent="0.35">
      <c r="A8" s="4" t="s">
        <v>16</v>
      </c>
      <c r="B8" s="2">
        <v>0.77876106194690198</v>
      </c>
      <c r="C8" s="2">
        <v>0.89050428430959405</v>
      </c>
      <c r="D8" s="2">
        <v>0.77876106194690198</v>
      </c>
      <c r="E8" s="2">
        <v>0.80928493682267699</v>
      </c>
      <c r="F8" s="2">
        <v>0.72776034163408099</v>
      </c>
      <c r="G8" s="2">
        <v>0.75479679392228605</v>
      </c>
      <c r="H8" s="2">
        <v>0.72968935512091404</v>
      </c>
      <c r="I8" s="2">
        <v>0.96745491056029098</v>
      </c>
      <c r="J8" s="2">
        <v>1</v>
      </c>
    </row>
    <row r="9" spans="1:10" x14ac:dyDescent="0.35">
      <c r="A9" s="4" t="s">
        <v>17</v>
      </c>
      <c r="B9" s="2">
        <v>5.56257901390644E-2</v>
      </c>
      <c r="C9" s="2">
        <v>3.0942285285952401E-3</v>
      </c>
      <c r="D9" s="2">
        <v>5.56257901390644E-2</v>
      </c>
      <c r="E9" s="2">
        <v>5.8623587212427199E-3</v>
      </c>
      <c r="F9" s="2">
        <v>3.0942285285952401E-3</v>
      </c>
      <c r="G9" s="2">
        <v>0</v>
      </c>
      <c r="H9" s="2">
        <v>0</v>
      </c>
      <c r="I9" s="2">
        <v>0.875</v>
      </c>
      <c r="J9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4695E-733F-43D0-950A-0799AB75B9DA}">
  <dimension ref="A1:J9"/>
  <sheetViews>
    <sheetView workbookViewId="0">
      <selection sqref="A1:J9"/>
    </sheetView>
  </sheetViews>
  <sheetFormatPr defaultRowHeight="14.5" x14ac:dyDescent="0.35"/>
  <sheetData>
    <row r="1" spans="1:10" ht="43.5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9" x14ac:dyDescent="0.35">
      <c r="A2" s="4" t="s">
        <v>10</v>
      </c>
      <c r="B2" s="2">
        <v>0.92035398230088405</v>
      </c>
      <c r="C2" s="2">
        <v>0.95712694385260699</v>
      </c>
      <c r="D2" s="2">
        <v>0.92035398230088405</v>
      </c>
      <c r="E2" s="2">
        <v>0.92933074723742704</v>
      </c>
      <c r="F2" s="2">
        <v>0.88034772171403497</v>
      </c>
      <c r="G2" s="2">
        <v>0.905532110808832</v>
      </c>
      <c r="H2" s="2">
        <v>0.89880555916563698</v>
      </c>
      <c r="I2" s="2">
        <v>0.98896556078450604</v>
      </c>
      <c r="J2" s="2">
        <v>1</v>
      </c>
    </row>
    <row r="3" spans="1:10" ht="58" x14ac:dyDescent="0.35">
      <c r="A3" s="4" t="s">
        <v>11</v>
      </c>
      <c r="B3" s="2">
        <v>0.68141592920353899</v>
      </c>
      <c r="C3" s="2">
        <v>0.74317178507505699</v>
      </c>
      <c r="D3" s="2">
        <v>0.68141592920353899</v>
      </c>
      <c r="E3" s="2">
        <v>0.67687445519837997</v>
      </c>
      <c r="F3" s="2">
        <v>0.51502700024999903</v>
      </c>
      <c r="G3" s="2">
        <v>0.63470410437343505</v>
      </c>
      <c r="H3" s="2">
        <v>0.61620129157472703</v>
      </c>
      <c r="I3" s="2">
        <v>0.95421620986301103</v>
      </c>
      <c r="J3" s="2">
        <v>0.98016157560112804</v>
      </c>
    </row>
    <row r="4" spans="1:10" ht="29" x14ac:dyDescent="0.35">
      <c r="A4" s="4" t="s">
        <v>12</v>
      </c>
      <c r="B4" s="2">
        <v>0.73324905183312195</v>
      </c>
      <c r="C4" s="2">
        <v>0.867013010956595</v>
      </c>
      <c r="D4" s="2">
        <v>0.73324905183312195</v>
      </c>
      <c r="E4" s="2">
        <v>0.76838960744854601</v>
      </c>
      <c r="F4" s="2">
        <v>0.68533984792629798</v>
      </c>
      <c r="G4" s="2">
        <v>0.71100131722899795</v>
      </c>
      <c r="H4" s="2">
        <v>0.67839084623744506</v>
      </c>
      <c r="I4" s="2">
        <v>0.960622197309417</v>
      </c>
      <c r="J4" s="2">
        <v>1</v>
      </c>
    </row>
    <row r="5" spans="1:10" ht="29" x14ac:dyDescent="0.35">
      <c r="A5" s="4" t="s">
        <v>13</v>
      </c>
      <c r="B5" s="2">
        <v>0.98103666245259102</v>
      </c>
      <c r="C5" s="2">
        <v>0.98252417615235099</v>
      </c>
      <c r="D5" s="2">
        <v>0.98103666245259102</v>
      </c>
      <c r="E5" s="2">
        <v>0.98144527975194795</v>
      </c>
      <c r="F5" s="2">
        <v>0.96488993082877095</v>
      </c>
      <c r="G5" s="2">
        <v>0.975358116942317</v>
      </c>
      <c r="H5" s="2">
        <v>0.97519624546623296</v>
      </c>
      <c r="I5" s="2">
        <v>0.99710038853416405</v>
      </c>
      <c r="J5" s="2">
        <v>1</v>
      </c>
    </row>
    <row r="6" spans="1:10" ht="29" x14ac:dyDescent="0.35">
      <c r="A6" s="4" t="s">
        <v>14</v>
      </c>
      <c r="B6" s="2">
        <v>0.73072060682680096</v>
      </c>
      <c r="C6" s="2">
        <v>0.86806542168056</v>
      </c>
      <c r="D6" s="2">
        <v>0.73072060682680096</v>
      </c>
      <c r="E6" s="2">
        <v>0.76575536634538699</v>
      </c>
      <c r="F6" s="2">
        <v>0.68252895723346096</v>
      </c>
      <c r="G6" s="2">
        <v>0.71023882173939601</v>
      </c>
      <c r="H6" s="2">
        <v>0.67604656170926203</v>
      </c>
      <c r="I6" s="2">
        <v>0.96038735647760298</v>
      </c>
      <c r="J6" s="2">
        <v>1</v>
      </c>
    </row>
    <row r="7" spans="1:10" x14ac:dyDescent="0.35">
      <c r="A7" s="4" t="s">
        <v>15</v>
      </c>
      <c r="B7" s="2">
        <v>0.73957016434892497</v>
      </c>
      <c r="C7" s="2">
        <v>0.88243311019460702</v>
      </c>
      <c r="D7" s="2">
        <v>0.73957016434892497</v>
      </c>
      <c r="E7" s="2">
        <v>0.77286375129295404</v>
      </c>
      <c r="F7" s="2">
        <v>0.68875633845828599</v>
      </c>
      <c r="G7" s="2">
        <v>0.72453214187491599</v>
      </c>
      <c r="H7" s="2">
        <v>0.68754002922373003</v>
      </c>
      <c r="I7" s="2">
        <v>0.96224067412408198</v>
      </c>
      <c r="J7" s="2">
        <v>1</v>
      </c>
    </row>
    <row r="8" spans="1:10" ht="29" x14ac:dyDescent="0.35">
      <c r="A8" s="4" t="s">
        <v>16</v>
      </c>
      <c r="B8" s="2">
        <v>0.77496839443742005</v>
      </c>
      <c r="C8" s="2">
        <v>0.889594887226695</v>
      </c>
      <c r="D8" s="2">
        <v>0.77496839443742005</v>
      </c>
      <c r="E8" s="2">
        <v>0.80591797759806505</v>
      </c>
      <c r="F8" s="2">
        <v>0.72400080028763902</v>
      </c>
      <c r="G8" s="2">
        <v>0.75166645603290605</v>
      </c>
      <c r="H8" s="2">
        <v>0.72555815014209502</v>
      </c>
      <c r="I8" s="2">
        <v>0.96693980067018104</v>
      </c>
      <c r="J8" s="2">
        <v>1</v>
      </c>
    </row>
    <row r="9" spans="1:10" x14ac:dyDescent="0.35">
      <c r="A9" s="4" t="s">
        <v>17</v>
      </c>
      <c r="B9" s="2">
        <v>5.6890012642224999E-2</v>
      </c>
      <c r="C9" s="2">
        <v>3.2364735384325201E-3</v>
      </c>
      <c r="D9" s="2">
        <v>5.6890012642224999E-2</v>
      </c>
      <c r="E9" s="2">
        <v>6.1245228921055599E-3</v>
      </c>
      <c r="F9" s="2">
        <v>3.2364735384325201E-3</v>
      </c>
      <c r="G9" s="2">
        <v>0</v>
      </c>
      <c r="H9" s="2">
        <v>0</v>
      </c>
      <c r="I9" s="2">
        <v>0.875</v>
      </c>
      <c r="J9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87F28-57A4-402D-BAAD-8320DB6ADB1A}">
  <dimension ref="A1:J9"/>
  <sheetViews>
    <sheetView workbookViewId="0">
      <selection sqref="A1:J9"/>
    </sheetView>
  </sheetViews>
  <sheetFormatPr defaultRowHeight="14.5" x14ac:dyDescent="0.35"/>
  <sheetData>
    <row r="1" spans="1:10" ht="43.5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9" x14ac:dyDescent="0.35">
      <c r="A2" s="4" t="s">
        <v>10</v>
      </c>
      <c r="B2" s="2">
        <v>0.93805309734513198</v>
      </c>
      <c r="C2" s="2">
        <v>0.95128449776972002</v>
      </c>
      <c r="D2" s="2">
        <v>0.93805309734513198</v>
      </c>
      <c r="E2" s="2">
        <v>0.94225763824930897</v>
      </c>
      <c r="F2" s="2">
        <v>0.90132703983334495</v>
      </c>
      <c r="G2" s="2">
        <v>0.92130691415710497</v>
      </c>
      <c r="H2" s="2">
        <v>0.91982400542794696</v>
      </c>
      <c r="I2" s="2">
        <v>0.99039231508401904</v>
      </c>
      <c r="J2" s="2">
        <v>1</v>
      </c>
    </row>
    <row r="3" spans="1:10" ht="58" x14ac:dyDescent="0.35">
      <c r="A3" s="4" t="s">
        <v>11</v>
      </c>
      <c r="B3" s="2">
        <v>0.70796460176991105</v>
      </c>
      <c r="C3" s="2">
        <v>0.76780334811072903</v>
      </c>
      <c r="D3" s="2">
        <v>0.70796460176991105</v>
      </c>
      <c r="E3" s="2">
        <v>0.70835677547666698</v>
      </c>
      <c r="F3" s="2">
        <v>0.55131690443870995</v>
      </c>
      <c r="G3" s="2">
        <v>0.66110200147023301</v>
      </c>
      <c r="H3" s="2">
        <v>0.64509030024978697</v>
      </c>
      <c r="I3" s="2">
        <v>0.95846187860171395</v>
      </c>
      <c r="J3" s="2">
        <v>0.99378555380276301</v>
      </c>
    </row>
    <row r="4" spans="1:10" ht="29" x14ac:dyDescent="0.35">
      <c r="A4" s="4" t="s">
        <v>12</v>
      </c>
      <c r="B4" s="2">
        <v>0.75221238938053003</v>
      </c>
      <c r="C4" s="2">
        <v>0.87451342319343195</v>
      </c>
      <c r="D4" s="2">
        <v>0.75221238938053003</v>
      </c>
      <c r="E4" s="2">
        <v>0.78588305034508998</v>
      </c>
      <c r="F4" s="2">
        <v>0.70323462866583697</v>
      </c>
      <c r="G4" s="2">
        <v>0.72735798283626096</v>
      </c>
      <c r="H4" s="2">
        <v>0.699128646005162</v>
      </c>
      <c r="I4" s="2">
        <v>0.96330631252155896</v>
      </c>
      <c r="J4" s="2">
        <v>1</v>
      </c>
    </row>
    <row r="5" spans="1:10" ht="29" x14ac:dyDescent="0.35">
      <c r="A5" s="4" t="s">
        <v>13</v>
      </c>
      <c r="B5" s="2">
        <v>0.97977243994943097</v>
      </c>
      <c r="C5" s="2">
        <v>0.98043822211593101</v>
      </c>
      <c r="D5" s="2">
        <v>0.97977243994943097</v>
      </c>
      <c r="E5" s="2">
        <v>0.980024660702696</v>
      </c>
      <c r="F5" s="2">
        <v>0.96266154879320098</v>
      </c>
      <c r="G5" s="2">
        <v>0.97349936053804498</v>
      </c>
      <c r="H5" s="2">
        <v>0.973464056124695</v>
      </c>
      <c r="I5" s="2">
        <v>0.99660135268319106</v>
      </c>
      <c r="J5" s="2">
        <v>1</v>
      </c>
    </row>
    <row r="6" spans="1:10" ht="29" x14ac:dyDescent="0.35">
      <c r="A6" s="4" t="s">
        <v>14</v>
      </c>
      <c r="B6" s="2">
        <v>0.75347661188369097</v>
      </c>
      <c r="C6" s="2">
        <v>0.87921865552685097</v>
      </c>
      <c r="D6" s="2">
        <v>0.75347661188369097</v>
      </c>
      <c r="E6" s="2">
        <v>0.78609160665783895</v>
      </c>
      <c r="F6" s="2">
        <v>0.70229630887907901</v>
      </c>
      <c r="G6" s="2">
        <v>0.73162960213075301</v>
      </c>
      <c r="H6" s="2">
        <v>0.70149094864123096</v>
      </c>
      <c r="I6" s="2">
        <v>0.96380785607802699</v>
      </c>
      <c r="J6" s="2">
        <v>1</v>
      </c>
    </row>
    <row r="7" spans="1:10" x14ac:dyDescent="0.35">
      <c r="A7" s="4" t="s">
        <v>15</v>
      </c>
      <c r="B7" s="2">
        <v>0.76106194690265405</v>
      </c>
      <c r="C7" s="2">
        <v>0.89200280689524503</v>
      </c>
      <c r="D7" s="2">
        <v>0.76106194690265405</v>
      </c>
      <c r="E7" s="2">
        <v>0.79288876860139501</v>
      </c>
      <c r="F7" s="2">
        <v>0.709270402682038</v>
      </c>
      <c r="G7" s="2">
        <v>0.74375241169488204</v>
      </c>
      <c r="H7" s="2">
        <v>0.71129602879720599</v>
      </c>
      <c r="I7" s="2">
        <v>0.965376761691223</v>
      </c>
      <c r="J7" s="2">
        <v>1</v>
      </c>
    </row>
    <row r="8" spans="1:10" ht="29" x14ac:dyDescent="0.35">
      <c r="A8" s="4" t="s">
        <v>16</v>
      </c>
      <c r="B8" s="2">
        <v>0.80025284450063205</v>
      </c>
      <c r="C8" s="2">
        <v>0.89904496627038499</v>
      </c>
      <c r="D8" s="2">
        <v>0.80025284450063205</v>
      </c>
      <c r="E8" s="2">
        <v>0.827942619216961</v>
      </c>
      <c r="F8" s="2">
        <v>0.74879339288304803</v>
      </c>
      <c r="G8" s="2">
        <v>0.77531977275851405</v>
      </c>
      <c r="H8" s="2">
        <v>0.75423285521570305</v>
      </c>
      <c r="I8" s="2">
        <v>0.97059099812743299</v>
      </c>
      <c r="J8" s="2">
        <v>1</v>
      </c>
    </row>
    <row r="9" spans="1:10" x14ac:dyDescent="0.35">
      <c r="A9" s="4" t="s">
        <v>17</v>
      </c>
      <c r="B9" s="2">
        <v>5.6890012642224999E-2</v>
      </c>
      <c r="C9" s="2">
        <v>3.2364735384325201E-3</v>
      </c>
      <c r="D9" s="2">
        <v>5.6890012642224999E-2</v>
      </c>
      <c r="E9" s="2">
        <v>6.1245228921055599E-3</v>
      </c>
      <c r="F9" s="2">
        <v>3.2364735384325201E-3</v>
      </c>
      <c r="G9" s="2">
        <v>0</v>
      </c>
      <c r="H9" s="2">
        <v>0</v>
      </c>
      <c r="I9" s="2">
        <v>0.875</v>
      </c>
      <c r="J9" s="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8A8CB-D4D3-4012-AF67-D72889D927B4}">
  <dimension ref="A1:J9"/>
  <sheetViews>
    <sheetView workbookViewId="0">
      <selection sqref="A1:J9"/>
    </sheetView>
  </sheetViews>
  <sheetFormatPr defaultRowHeight="14.5" x14ac:dyDescent="0.35"/>
  <sheetData>
    <row r="1" spans="1:10" ht="43.5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9" x14ac:dyDescent="0.35">
      <c r="A2" s="4" t="s">
        <v>10</v>
      </c>
      <c r="B2" s="2">
        <v>0.94943109987357699</v>
      </c>
      <c r="C2" s="2">
        <v>0.95790352535442103</v>
      </c>
      <c r="D2" s="2">
        <v>0.94943109987357699</v>
      </c>
      <c r="E2" s="2">
        <v>0.95218806934564404</v>
      </c>
      <c r="F2" s="2">
        <v>0.91677653454393104</v>
      </c>
      <c r="G2" s="2">
        <v>0.93511274229005403</v>
      </c>
      <c r="H2" s="2">
        <v>0.93427994582872897</v>
      </c>
      <c r="I2" s="2">
        <v>0.99205327649522901</v>
      </c>
      <c r="J2" s="2">
        <v>1</v>
      </c>
    </row>
    <row r="3" spans="1:10" ht="58" x14ac:dyDescent="0.35">
      <c r="A3" s="4" t="s">
        <v>11</v>
      </c>
      <c r="B3" s="2">
        <v>0.68394437420986098</v>
      </c>
      <c r="C3" s="2">
        <v>0.74087715977924296</v>
      </c>
      <c r="D3" s="2">
        <v>0.68394437420986098</v>
      </c>
      <c r="E3" s="2">
        <v>0.68520282894066098</v>
      </c>
      <c r="F3" s="2">
        <v>0.52342643591580795</v>
      </c>
      <c r="G3" s="2">
        <v>0.63010325807136103</v>
      </c>
      <c r="H3" s="2">
        <v>0.61574558957548398</v>
      </c>
      <c r="I3" s="2">
        <v>0.95464354449738598</v>
      </c>
      <c r="J3" s="2">
        <v>0.98857497968354102</v>
      </c>
    </row>
    <row r="4" spans="1:10" ht="29" x14ac:dyDescent="0.35">
      <c r="A4" s="4" t="s">
        <v>12</v>
      </c>
      <c r="B4" s="2">
        <v>0.76611883691529703</v>
      </c>
      <c r="C4" s="2">
        <v>0.88080339561679399</v>
      </c>
      <c r="D4" s="2">
        <v>0.76611883691529703</v>
      </c>
      <c r="E4" s="2">
        <v>0.79878951438095702</v>
      </c>
      <c r="F4" s="2">
        <v>0.71718211848100499</v>
      </c>
      <c r="G4" s="2">
        <v>0.740001923567839</v>
      </c>
      <c r="H4" s="2">
        <v>0.71466260049254204</v>
      </c>
      <c r="I4" s="2">
        <v>0.96534082870447202</v>
      </c>
      <c r="J4" s="2">
        <v>1</v>
      </c>
    </row>
    <row r="5" spans="1:10" ht="29" x14ac:dyDescent="0.35">
      <c r="A5" s="4" t="s">
        <v>13</v>
      </c>
      <c r="B5" s="2">
        <v>0.98356510745891201</v>
      </c>
      <c r="C5" s="2">
        <v>0.98368352623343303</v>
      </c>
      <c r="D5" s="2">
        <v>0.98356510745891201</v>
      </c>
      <c r="E5" s="2">
        <v>0.98361892040168797</v>
      </c>
      <c r="F5" s="2">
        <v>0.96907846119081198</v>
      </c>
      <c r="G5" s="2">
        <v>0.97840196303706894</v>
      </c>
      <c r="H5" s="2">
        <v>0.97839973616715503</v>
      </c>
      <c r="I5" s="2">
        <v>0.99711811130180095</v>
      </c>
      <c r="J5" s="2">
        <v>1</v>
      </c>
    </row>
    <row r="6" spans="1:10" ht="29" x14ac:dyDescent="0.35">
      <c r="A6" s="4" t="s">
        <v>14</v>
      </c>
      <c r="B6" s="2">
        <v>0.76359039190897504</v>
      </c>
      <c r="C6" s="2">
        <v>0.88376901648180595</v>
      </c>
      <c r="D6" s="2">
        <v>0.76359039190897504</v>
      </c>
      <c r="E6" s="2">
        <v>0.79635258060481595</v>
      </c>
      <c r="F6" s="2">
        <v>0.71412921183780798</v>
      </c>
      <c r="G6" s="2">
        <v>0.74010695348758404</v>
      </c>
      <c r="H6" s="2">
        <v>0.71252966201338197</v>
      </c>
      <c r="I6" s="2">
        <v>0.96521549576482302</v>
      </c>
      <c r="J6" s="2">
        <v>1</v>
      </c>
    </row>
    <row r="7" spans="1:10" x14ac:dyDescent="0.35">
      <c r="A7" s="4" t="s">
        <v>15</v>
      </c>
      <c r="B7" s="2">
        <v>0.76485461441213598</v>
      </c>
      <c r="C7" s="2">
        <v>0.88594184576485402</v>
      </c>
      <c r="D7" s="2">
        <v>0.76485461441213598</v>
      </c>
      <c r="E7" s="2">
        <v>0.79738904276160205</v>
      </c>
      <c r="F7" s="2">
        <v>0.71506373971993198</v>
      </c>
      <c r="G7" s="2">
        <v>0.74226349806201997</v>
      </c>
      <c r="H7" s="2">
        <v>0.71422411281393805</v>
      </c>
      <c r="I7" s="2">
        <v>0.96549576482311905</v>
      </c>
      <c r="J7" s="2">
        <v>1</v>
      </c>
    </row>
    <row r="8" spans="1:10" ht="29" x14ac:dyDescent="0.35">
      <c r="A8" s="4" t="s">
        <v>16</v>
      </c>
      <c r="B8" s="2">
        <v>0.79772439949431095</v>
      </c>
      <c r="C8" s="2">
        <v>0.89207974923230204</v>
      </c>
      <c r="D8" s="2">
        <v>0.79772439949431095</v>
      </c>
      <c r="E8" s="2">
        <v>0.82608650292507402</v>
      </c>
      <c r="F8" s="2">
        <v>0.74773132852284696</v>
      </c>
      <c r="G8" s="2">
        <v>0.76924613662371399</v>
      </c>
      <c r="H8" s="2">
        <v>0.75032846326537805</v>
      </c>
      <c r="I8" s="2">
        <v>0.969845125394452</v>
      </c>
      <c r="J8" s="2">
        <v>1</v>
      </c>
    </row>
    <row r="9" spans="1:10" x14ac:dyDescent="0.35">
      <c r="A9" s="4" t="s">
        <v>17</v>
      </c>
      <c r="B9" s="2">
        <v>5.6890012642224999E-2</v>
      </c>
      <c r="C9" s="2">
        <v>3.2364735384325201E-3</v>
      </c>
      <c r="D9" s="2">
        <v>5.6890012642224999E-2</v>
      </c>
      <c r="E9" s="2">
        <v>6.1245228921055599E-3</v>
      </c>
      <c r="F9" s="2">
        <v>3.2364735384325201E-3</v>
      </c>
      <c r="G9" s="2">
        <v>0</v>
      </c>
      <c r="H9" s="2">
        <v>0</v>
      </c>
      <c r="I9" s="2">
        <v>0.875</v>
      </c>
      <c r="J9" s="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F9BB7-8C0B-46D5-97FC-3B8BBC4688CC}">
  <dimension ref="A1:J9"/>
  <sheetViews>
    <sheetView workbookViewId="0">
      <selection sqref="A1:J9"/>
    </sheetView>
  </sheetViews>
  <sheetFormatPr defaultRowHeight="14.5" x14ac:dyDescent="0.35"/>
  <sheetData>
    <row r="1" spans="1:10" ht="43.5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9" x14ac:dyDescent="0.35">
      <c r="A2" s="4" t="s">
        <v>10</v>
      </c>
      <c r="B2" s="2">
        <v>0.93426042983565105</v>
      </c>
      <c r="C2" s="2">
        <v>0.95207110255230198</v>
      </c>
      <c r="D2" s="2">
        <v>0.93426042983565105</v>
      </c>
      <c r="E2" s="2">
        <v>0.93954164225586601</v>
      </c>
      <c r="F2" s="2">
        <v>0.89686014351573495</v>
      </c>
      <c r="G2" s="2">
        <v>0.91756597756736102</v>
      </c>
      <c r="H2" s="2">
        <v>0.91524138442643899</v>
      </c>
      <c r="I2" s="2">
        <v>0.99009433671709401</v>
      </c>
      <c r="J2" s="2">
        <v>1</v>
      </c>
    </row>
    <row r="3" spans="1:10" ht="58" x14ac:dyDescent="0.35">
      <c r="A3" s="4" t="s">
        <v>11</v>
      </c>
      <c r="B3" s="2">
        <v>0.69532237673830599</v>
      </c>
      <c r="C3" s="2">
        <v>0.763395734119652</v>
      </c>
      <c r="D3" s="2">
        <v>0.69532237673830599</v>
      </c>
      <c r="E3" s="2">
        <v>0.69526201176533697</v>
      </c>
      <c r="F3" s="2">
        <v>0.535772784131195</v>
      </c>
      <c r="G3" s="2">
        <v>0.65010177888759402</v>
      </c>
      <c r="H3" s="2">
        <v>0.63224916565387601</v>
      </c>
      <c r="I3" s="2">
        <v>0.95695023727963502</v>
      </c>
      <c r="J3" s="2">
        <v>0.98889765285147402</v>
      </c>
    </row>
    <row r="4" spans="1:10" ht="29" x14ac:dyDescent="0.35">
      <c r="A4" s="4" t="s">
        <v>12</v>
      </c>
      <c r="B4" s="2">
        <v>0.77243994943109895</v>
      </c>
      <c r="C4" s="2">
        <v>0.88352437794149297</v>
      </c>
      <c r="D4" s="2">
        <v>0.77243994943109895</v>
      </c>
      <c r="E4" s="2">
        <v>0.80386360312021699</v>
      </c>
      <c r="F4" s="2">
        <v>0.72232173292027202</v>
      </c>
      <c r="G4" s="2">
        <v>0.74626322936703005</v>
      </c>
      <c r="H4" s="2">
        <v>0.72180104417419499</v>
      </c>
      <c r="I4" s="2">
        <v>0.96627069679199695</v>
      </c>
      <c r="J4" s="2">
        <v>1</v>
      </c>
    </row>
    <row r="5" spans="1:10" ht="29" x14ac:dyDescent="0.35">
      <c r="A5" s="4" t="s">
        <v>13</v>
      </c>
      <c r="B5" s="2">
        <v>0.96713021491782503</v>
      </c>
      <c r="C5" s="2">
        <v>0.967793774004991</v>
      </c>
      <c r="D5" s="2">
        <v>0.96713021491782503</v>
      </c>
      <c r="E5" s="2">
        <v>0.96740748508711505</v>
      </c>
      <c r="F5" s="2">
        <v>0.94104471452796501</v>
      </c>
      <c r="G5" s="2">
        <v>0.95689815231824005</v>
      </c>
      <c r="H5" s="2">
        <v>0.95686941494995004</v>
      </c>
      <c r="I5" s="2">
        <v>0.99434312617768705</v>
      </c>
      <c r="J5" s="2">
        <v>1</v>
      </c>
    </row>
    <row r="6" spans="1:10" ht="29" x14ac:dyDescent="0.35">
      <c r="A6" s="4" t="s">
        <v>14</v>
      </c>
      <c r="B6" s="2">
        <v>0.77117572692793901</v>
      </c>
      <c r="C6" s="2">
        <v>0.88271177546476698</v>
      </c>
      <c r="D6" s="2">
        <v>0.77117572692793901</v>
      </c>
      <c r="E6" s="2">
        <v>0.80199995873428098</v>
      </c>
      <c r="F6" s="2">
        <v>0.71811559922374402</v>
      </c>
      <c r="G6" s="2">
        <v>0.74539811894998498</v>
      </c>
      <c r="H6" s="2">
        <v>0.72041883180918997</v>
      </c>
      <c r="I6" s="2">
        <v>0.966103360781287</v>
      </c>
      <c r="J6" s="2">
        <v>1</v>
      </c>
    </row>
    <row r="7" spans="1:10" x14ac:dyDescent="0.35">
      <c r="A7" s="4" t="s">
        <v>15</v>
      </c>
      <c r="B7" s="2">
        <v>0.77243994943109895</v>
      </c>
      <c r="C7" s="2">
        <v>0.88713876177418405</v>
      </c>
      <c r="D7" s="2">
        <v>0.77243994943109895</v>
      </c>
      <c r="E7" s="2">
        <v>0.80373728071714501</v>
      </c>
      <c r="F7" s="2">
        <v>0.72177812282599496</v>
      </c>
      <c r="G7" s="2">
        <v>0.74841410142225495</v>
      </c>
      <c r="H7" s="2">
        <v>0.72241285190672999</v>
      </c>
      <c r="I7" s="2">
        <v>0.96648782831518198</v>
      </c>
      <c r="J7" s="2">
        <v>1</v>
      </c>
    </row>
    <row r="8" spans="1:10" ht="29" x14ac:dyDescent="0.35">
      <c r="A8" s="4" t="s">
        <v>16</v>
      </c>
      <c r="B8" s="2">
        <v>0.81415929203539805</v>
      </c>
      <c r="C8" s="2">
        <v>0.89866670272472504</v>
      </c>
      <c r="D8" s="2">
        <v>0.81415929203539805</v>
      </c>
      <c r="E8" s="2">
        <v>0.83956899849150501</v>
      </c>
      <c r="F8" s="2">
        <v>0.76316489991008396</v>
      </c>
      <c r="G8" s="2">
        <v>0.78579954795117002</v>
      </c>
      <c r="H8" s="2">
        <v>0.76937311822411902</v>
      </c>
      <c r="I8" s="2">
        <v>0.97226260286798405</v>
      </c>
      <c r="J8" s="2">
        <v>1</v>
      </c>
    </row>
    <row r="9" spans="1:10" x14ac:dyDescent="0.35">
      <c r="A9" s="4" t="s">
        <v>17</v>
      </c>
      <c r="B9" s="2">
        <v>5.56257901390644E-2</v>
      </c>
      <c r="C9" s="2">
        <v>3.0942285285952401E-3</v>
      </c>
      <c r="D9" s="2">
        <v>5.56257901390644E-2</v>
      </c>
      <c r="E9" s="2">
        <v>5.8623587212427199E-3</v>
      </c>
      <c r="F9" s="2">
        <v>3.0942285285952401E-3</v>
      </c>
      <c r="G9" s="2">
        <v>0</v>
      </c>
      <c r="H9" s="2">
        <v>0</v>
      </c>
      <c r="I9" s="2">
        <v>0.875</v>
      </c>
      <c r="J9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DD360-9808-4148-BA5D-D5C9A93FEBDA}">
  <dimension ref="A1:U31"/>
  <sheetViews>
    <sheetView tabSelected="1" topLeftCell="A6" workbookViewId="0">
      <selection activeCell="L14" sqref="L14:S23"/>
    </sheetView>
  </sheetViews>
  <sheetFormatPr defaultRowHeight="14.5" x14ac:dyDescent="0.35"/>
  <cols>
    <col min="1" max="1" width="18" bestFit="1" customWidth="1"/>
    <col min="2" max="5" width="11.36328125" bestFit="1" customWidth="1"/>
    <col min="6" max="6" width="12" bestFit="1" customWidth="1"/>
    <col min="7" max="7" width="17.453125" bestFit="1" customWidth="1"/>
    <col min="8" max="8" width="13.36328125" bestFit="1" customWidth="1"/>
    <col min="9" max="9" width="11.36328125" bestFit="1" customWidth="1"/>
    <col min="10" max="10" width="12.36328125" bestFit="1" customWidth="1"/>
  </cols>
  <sheetData>
    <row r="1" spans="1:21" ht="43.5" x14ac:dyDescent="0.35">
      <c r="A1" s="1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6" t="s">
        <v>9</v>
      </c>
      <c r="L1" s="1" t="s">
        <v>0</v>
      </c>
      <c r="M1" s="6" t="s">
        <v>1</v>
      </c>
      <c r="N1" s="6" t="s">
        <v>2</v>
      </c>
      <c r="O1" s="6" t="s">
        <v>3</v>
      </c>
      <c r="P1" s="6" t="s">
        <v>4</v>
      </c>
      <c r="Q1" s="3" t="s">
        <v>5</v>
      </c>
      <c r="R1" s="3" t="s">
        <v>6</v>
      </c>
      <c r="S1" s="3" t="s">
        <v>7</v>
      </c>
      <c r="T1" s="6" t="s">
        <v>8</v>
      </c>
      <c r="U1" s="6" t="s">
        <v>9</v>
      </c>
    </row>
    <row r="2" spans="1:21" ht="29" x14ac:dyDescent="0.35">
      <c r="A2" s="4" t="s">
        <v>10</v>
      </c>
      <c r="B2" s="7">
        <f>AVERAGE('fold 1'!B2,'fold 2'!B2,'fold 3'!B2,'fold 4'!B2,'fold 5'!B2)</f>
        <v>0.92920353982300818</v>
      </c>
      <c r="C2" s="7">
        <f>AVERAGE('fold 1'!C2,'fold 2'!C2,'fold 3'!C2,'fold 4'!C2,'fold 5'!C2)</f>
        <v>0.95076770360624874</v>
      </c>
      <c r="D2" s="7">
        <f>AVERAGE('fold 1'!D2,'fold 2'!D2,'fold 3'!D2,'fold 4'!D2,'fold 5'!D2)</f>
        <v>0.92920353982300818</v>
      </c>
      <c r="E2" s="7">
        <f>AVERAGE('fold 1'!E2,'fold 2'!E2,'fold 3'!E2,'fold 4'!E2,'fold 5'!E2)</f>
        <v>0.93535303189403007</v>
      </c>
      <c r="F2" s="7">
        <f>AVERAGE('fold 1'!F2,'fold 2'!F2,'fold 3'!F2,'fold 4'!F2,'fold 5'!F2)</f>
        <v>0.89073891323924914</v>
      </c>
      <c r="G2" s="7">
        <f>AVERAGE('fold 1'!G2,'fold 2'!G2,'fold 3'!G2,'fold 4'!G2,'fold 5'!G2)</f>
        <v>0.91229101852875016</v>
      </c>
      <c r="H2" s="7">
        <f>AVERAGE('fold 1'!H2,'fold 2'!H2,'fold 3'!H2,'fold 4'!H2,'fold 5'!H2)</f>
        <v>0.90908477082210892</v>
      </c>
      <c r="I2" s="7">
        <f>AVERAGE('fold 1'!I2,'fold 2'!I2,'fold 3'!I2,'fold 4'!I2,'fold 5'!I2)</f>
        <v>0.98940972033849928</v>
      </c>
      <c r="J2" s="7">
        <f>AVERAGE('fold 1'!J2,'fold 2'!J2,'fold 3'!J2,'fold 4'!J2,'fold 5'!J2)</f>
        <v>1</v>
      </c>
      <c r="L2" s="4" t="s">
        <v>10</v>
      </c>
      <c r="M2" s="7">
        <f>_xlfn.STDEV.P('fold 1'!B2,'fold 2'!B2,'fold 3'!B2,'fold 4'!B2,'fold 5'!B2)</f>
        <v>1.5688588680140215E-2</v>
      </c>
      <c r="N2" s="7">
        <f>_xlfn.STDEV.P('fold 1'!C2,'fold 2'!C2,'fold 3'!C2,'fold 4'!C2,'fold 5'!C2)</f>
        <v>8.0979361871385044E-3</v>
      </c>
      <c r="O2" s="7">
        <f>_xlfn.STDEV.P('fold 1'!D2,'fold 2'!D2,'fold 3'!D2,'fold 4'!D2,'fold 5'!D2)</f>
        <v>1.5688588680140215E-2</v>
      </c>
      <c r="P2" s="7">
        <f>_xlfn.STDEV.P('fold 1'!E2,'fold 2'!E2,'fold 3'!E2,'fold 4'!E2,'fold 5'!E2)</f>
        <v>1.3151242864712339E-2</v>
      </c>
      <c r="Q2" s="7">
        <f>_xlfn.STDEV.P('fold 1'!F2,'fold 2'!F2,'fold 3'!F2,'fold 4'!F2,'fold 5'!F2)</f>
        <v>1.9911852747213504E-2</v>
      </c>
      <c r="R2" s="7">
        <f>_xlfn.STDEV.P('fold 1'!G2,'fold 2'!G2,'fold 3'!G2,'fold 4'!G2,'fold 5'!G2)</f>
        <v>1.7871602062014783E-2</v>
      </c>
      <c r="S2" s="7">
        <f>_xlfn.STDEV.P('fold 1'!H2,'fold 2'!H2,'fold 3'!H2,'fold 4'!H2,'fold 5'!H2)</f>
        <v>1.9522732603988211E-2</v>
      </c>
      <c r="T2" s="7">
        <f>_xlfn.STDEV.P('fold 1'!I2,'fold 2'!I2,'fold 3'!I2,'fold 4'!I2,'fold 5'!I2)</f>
        <v>2.1711984799320729E-3</v>
      </c>
      <c r="U2" s="7">
        <f>_xlfn.STDEV.P('fold 1'!J2,'fold 2'!J2,'fold 3'!J2,'fold 4'!J2,'fold 5'!J2)</f>
        <v>0</v>
      </c>
    </row>
    <row r="3" spans="1:21" ht="58" x14ac:dyDescent="0.35">
      <c r="A3" s="4" t="s">
        <v>11</v>
      </c>
      <c r="B3" s="7">
        <f>AVERAGE('fold 1'!B3,'fold 2'!B3,'fold 3'!B3,'fold 4'!B3,'fold 5'!B3)</f>
        <v>0.69203539823008819</v>
      </c>
      <c r="C3" s="7">
        <f>AVERAGE('fold 1'!C3,'fold 2'!C3,'fold 3'!C3,'fold 4'!C3,'fold 5'!C3)</f>
        <v>0.75383698285782774</v>
      </c>
      <c r="D3" s="7">
        <f>AVERAGE('fold 1'!D3,'fold 2'!D3,'fold 3'!D3,'fold 4'!D3,'fold 5'!D3)</f>
        <v>0.69203539823008819</v>
      </c>
      <c r="E3" s="7">
        <f>AVERAGE('fold 1'!E3,'fold 2'!E3,'fold 3'!E3,'fold 4'!E3,'fold 5'!E3)</f>
        <v>0.69066374759849825</v>
      </c>
      <c r="F3" s="7">
        <f>AVERAGE('fold 1'!F3,'fold 2'!F3,'fold 3'!F3,'fold 4'!F3,'fold 5'!F3)</f>
        <v>0.53064706354558544</v>
      </c>
      <c r="G3" s="7">
        <f>AVERAGE('fold 1'!G3,'fold 2'!G3,'fold 3'!G3,'fold 4'!G3,'fold 5'!G3)</f>
        <v>0.6444910784158917</v>
      </c>
      <c r="H3" s="7">
        <f>AVERAGE('fold 1'!H3,'fold 2'!H3,'fold 3'!H3,'fold 4'!H3,'fold 5'!H3)</f>
        <v>0.62752060447731028</v>
      </c>
      <c r="I3" s="7">
        <f>AVERAGE('fold 1'!I3,'fold 2'!I3,'fold 3'!I3,'fold 4'!I3,'fold 5'!I3)</f>
        <v>0.95605364604496013</v>
      </c>
      <c r="J3" s="7">
        <f>AVERAGE('fold 1'!J3,'fold 2'!J3,'fold 3'!J3,'fold 4'!J3,'fold 5'!J3)</f>
        <v>0.98867559475901545</v>
      </c>
      <c r="L3" s="4" t="s">
        <v>11</v>
      </c>
      <c r="M3" s="7">
        <f>_xlfn.STDEV.P('fold 1'!B3,'fold 2'!B3,'fold 3'!B3,'fold 4'!B3,'fold 5'!B3)</f>
        <v>9.4131532080841199E-3</v>
      </c>
      <c r="N3" s="7">
        <f>_xlfn.STDEV.P('fold 1'!C3,'fold 2'!C3,'fold 3'!C3,'fold 4'!C3,'fold 5'!C3)</f>
        <v>1.0659667189131077E-2</v>
      </c>
      <c r="O3" s="7">
        <f>_xlfn.STDEV.P('fold 1'!D3,'fold 2'!D3,'fold 3'!D3,'fold 4'!D3,'fold 5'!D3)</f>
        <v>9.4131532080841199E-3</v>
      </c>
      <c r="P3" s="7">
        <f>_xlfn.STDEV.P('fold 1'!E3,'fold 2'!E3,'fold 3'!E3,'fold 4'!E3,'fold 5'!E3)</f>
        <v>1.0615099244933781E-2</v>
      </c>
      <c r="Q3" s="7">
        <f>_xlfn.STDEV.P('fold 1'!F3,'fold 2'!F3,'fold 3'!F3,'fold 4'!F3,'fold 5'!F3)</f>
        <v>1.2315603393922941E-2</v>
      </c>
      <c r="R3" s="7">
        <f>_xlfn.STDEV.P('fold 1'!G3,'fold 2'!G3,'fold 3'!G3,'fold 4'!G3,'fold 5'!G3)</f>
        <v>1.1081622950512808E-2</v>
      </c>
      <c r="S3" s="7">
        <f>_xlfn.STDEV.P('fold 1'!H3,'fold 2'!H3,'fold 3'!H3,'fold 4'!H3,'fold 5'!H3)</f>
        <v>1.0940430061652011E-2</v>
      </c>
      <c r="T3" s="7">
        <f>_xlfn.STDEV.P('fold 1'!I3,'fold 2'!I3,'fold 3'!I3,'fold 4'!I3,'fold 5'!I3)</f>
        <v>1.5473396317292566E-3</v>
      </c>
      <c r="U3" s="7">
        <f>_xlfn.STDEV.P('fold 1'!J3,'fold 2'!J3,'fold 3'!J3,'fold 4'!J3,'fold 5'!J3)</f>
        <v>4.6783589397571433E-3</v>
      </c>
    </row>
    <row r="4" spans="1:21" ht="29" x14ac:dyDescent="0.35">
      <c r="A4" s="4" t="s">
        <v>12</v>
      </c>
      <c r="B4" s="7">
        <f>AVERAGE('fold 1'!B4,'fold 2'!B4,'fold 3'!B4,'fold 4'!B4,'fold 5'!B4)</f>
        <v>0.75297092288242662</v>
      </c>
      <c r="C4" s="7">
        <f>AVERAGE('fold 1'!C4,'fold 2'!C4,'fold 3'!C4,'fold 4'!C4,'fold 5'!C4)</f>
        <v>0.87615767255725474</v>
      </c>
      <c r="D4" s="7">
        <f>AVERAGE('fold 1'!D4,'fold 2'!D4,'fold 3'!D4,'fold 4'!D4,'fold 5'!D4)</f>
        <v>0.75297092288242662</v>
      </c>
      <c r="E4" s="7">
        <f>AVERAGE('fold 1'!E4,'fold 2'!E4,'fold 3'!E4,'fold 4'!E4,'fold 5'!E4)</f>
        <v>0.78638029205133364</v>
      </c>
      <c r="F4" s="7">
        <f>AVERAGE('fold 1'!F4,'fold 2'!F4,'fold 3'!F4,'fold 4'!F4,'fold 5'!F4)</f>
        <v>0.70392130611053205</v>
      </c>
      <c r="G4" s="7">
        <f>AVERAGE('fold 1'!G4,'fold 2'!G4,'fold 3'!G4,'fold 4'!G4,'fold 5'!G4)</f>
        <v>0.72903177048271639</v>
      </c>
      <c r="H4" s="7">
        <f>AVERAGE('fold 1'!H4,'fold 2'!H4,'fold 3'!H4,'fold 4'!H4,'fold 5'!H4)</f>
        <v>0.70029277280725966</v>
      </c>
      <c r="I4" s="7">
        <f>AVERAGE('fold 1'!I4,'fold 2'!I4,'fold 3'!I4,'fold 4'!I4,'fold 5'!I4)</f>
        <v>0.96350362994037175</v>
      </c>
      <c r="J4" s="7">
        <f>AVERAGE('fold 1'!J4,'fold 2'!J4,'fold 3'!J4,'fold 4'!J4,'fold 5'!J4)</f>
        <v>1</v>
      </c>
      <c r="L4" s="4" t="s">
        <v>12</v>
      </c>
      <c r="M4" s="7">
        <f>_xlfn.STDEV.P('fold 1'!B4,'fold 2'!B4,'fold 3'!B4,'fold 4'!B4,'fold 5'!B4)</f>
        <v>1.4756244208763555E-2</v>
      </c>
      <c r="N4" s="7">
        <f>_xlfn.STDEV.P('fold 1'!C4,'fold 2'!C4,'fold 3'!C4,'fold 4'!C4,'fold 5'!C4)</f>
        <v>5.7214766930793557E-3</v>
      </c>
      <c r="O4" s="7">
        <f>_xlfn.STDEV.P('fold 1'!D4,'fold 2'!D4,'fold 3'!D4,'fold 4'!D4,'fold 5'!D4)</f>
        <v>1.4756244208763555E-2</v>
      </c>
      <c r="P4" s="7">
        <f>_xlfn.STDEV.P('fold 1'!E4,'fold 2'!E4,'fold 3'!E4,'fold 4'!E4,'fold 5'!E4)</f>
        <v>1.3517632998525216E-2</v>
      </c>
      <c r="Q4" s="7">
        <f>_xlfn.STDEV.P('fold 1'!F4,'fold 2'!F4,'fold 3'!F4,'fold 4'!F4,'fold 5'!F4)</f>
        <v>1.4239072872233135E-2</v>
      </c>
      <c r="R4" s="7">
        <f>_xlfn.STDEV.P('fold 1'!G4,'fold 2'!G4,'fold 3'!G4,'fold 4'!G4,'fold 5'!G4)</f>
        <v>1.2785707322643574E-2</v>
      </c>
      <c r="S4" s="7">
        <f>_xlfn.STDEV.P('fold 1'!H4,'fold 2'!H4,'fold 3'!H4,'fold 4'!H4,'fold 5'!H4)</f>
        <v>1.6212931740395328E-2</v>
      </c>
      <c r="T4" s="7">
        <f>_xlfn.STDEV.P('fold 1'!I4,'fold 2'!I4,'fold 3'!I4,'fold 4'!I4,'fold 5'!I4)</f>
        <v>2.0833023867240946E-3</v>
      </c>
      <c r="U4" s="7">
        <f>_xlfn.STDEV.P('fold 1'!J4,'fold 2'!J4,'fold 3'!J4,'fold 4'!J4,'fold 5'!J4)</f>
        <v>0</v>
      </c>
    </row>
    <row r="5" spans="1:21" ht="29" x14ac:dyDescent="0.35">
      <c r="A5" s="4" t="s">
        <v>13</v>
      </c>
      <c r="B5" s="7">
        <f>AVERAGE('fold 1'!B5,'fold 2'!B5,'fold 3'!B5,'fold 4'!B5,'fold 5'!B5)</f>
        <v>0.97699115044247742</v>
      </c>
      <c r="C5" s="7">
        <f>AVERAGE('fold 1'!C5,'fold 2'!C5,'fold 3'!C5,'fold 4'!C5,'fold 5'!C5)</f>
        <v>0.97760874917025276</v>
      </c>
      <c r="D5" s="7">
        <f>AVERAGE('fold 1'!D5,'fold 2'!D5,'fold 3'!D5,'fold 4'!D5,'fold 5'!D5)</f>
        <v>0.97699115044247742</v>
      </c>
      <c r="E5" s="7">
        <f>AVERAGE('fold 1'!E5,'fold 2'!E5,'fold 3'!E5,'fold 4'!E5,'fold 5'!E5)</f>
        <v>0.97719963478738359</v>
      </c>
      <c r="F5" s="7">
        <f>AVERAGE('fold 1'!F5,'fold 2'!F5,'fold 3'!F5,'fold 4'!F5,'fold 5'!F5)</f>
        <v>0.9577195421551481</v>
      </c>
      <c r="G5" s="7">
        <f>AVERAGE('fold 1'!G5,'fold 2'!G5,'fold 3'!G5,'fold 4'!G5,'fold 5'!G5)</f>
        <v>0.96986364948585835</v>
      </c>
      <c r="H5" s="7">
        <f>AVERAGE('fold 1'!H5,'fold 2'!H5,'fold 3'!H5,'fold 4'!H5,'fold 5'!H5)</f>
        <v>0.96981526527933204</v>
      </c>
      <c r="I5" s="7">
        <f>AVERAGE('fold 1'!I5,'fold 2'!I5,'fold 3'!I5,'fold 4'!I5,'fold 5'!I5)</f>
        <v>0.99611768059190742</v>
      </c>
      <c r="J5" s="7">
        <f>AVERAGE('fold 1'!J5,'fold 2'!J5,'fold 3'!J5,'fold 4'!J5,'fold 5'!J5)</f>
        <v>1</v>
      </c>
      <c r="L5" s="4" t="s">
        <v>13</v>
      </c>
      <c r="M5" s="7">
        <f>_xlfn.STDEV.P('fold 1'!B5,'fold 2'!B5,'fold 3'!B5,'fold 4'!B5,'fold 5'!B5)</f>
        <v>5.9512527413095803E-3</v>
      </c>
      <c r="N5" s="7">
        <f>_xlfn.STDEV.P('fold 1'!C5,'fold 2'!C5,'fold 3'!C5,'fold 4'!C5,'fold 5'!C5)</f>
        <v>6.0239792519801039E-3</v>
      </c>
      <c r="O5" s="7">
        <f>_xlfn.STDEV.P('fold 1'!D5,'fold 2'!D5,'fold 3'!D5,'fold 4'!D5,'fold 5'!D5)</f>
        <v>5.9512527413095803E-3</v>
      </c>
      <c r="P5" s="7">
        <f>_xlfn.STDEV.P('fold 1'!E5,'fold 2'!E5,'fold 3'!E5,'fold 4'!E5,'fold 5'!E5)</f>
        <v>5.9459813525255577E-3</v>
      </c>
      <c r="Q5" s="7">
        <f>_xlfn.STDEV.P('fold 1'!F5,'fold 2'!F5,'fold 3'!F5,'fold 4'!F5,'fold 5'!F5)</f>
        <v>1.0286933976007346E-2</v>
      </c>
      <c r="R5" s="7">
        <f>_xlfn.STDEV.P('fold 1'!G5,'fold 2'!G5,'fold 3'!G5,'fold 4'!G5,'fold 5'!G5)</f>
        <v>7.8298485750848412E-3</v>
      </c>
      <c r="S5" s="7">
        <f>_xlfn.STDEV.P('fold 1'!H5,'fold 2'!H5,'fold 3'!H5,'fold 4'!H5,'fold 5'!H5)</f>
        <v>7.8147384297087182E-3</v>
      </c>
      <c r="T5" s="7">
        <f>_xlfn.STDEV.P('fold 1'!I5,'fold 2'!I5,'fold 3'!I5,'fold 4'!I5,'fold 5'!I5)</f>
        <v>1.0797015690758318E-3</v>
      </c>
      <c r="U5" s="7">
        <f>_xlfn.STDEV.P('fold 1'!J5,'fold 2'!J5,'fold 3'!J5,'fold 4'!J5,'fold 5'!J5)</f>
        <v>0</v>
      </c>
    </row>
    <row r="6" spans="1:21" ht="29" x14ac:dyDescent="0.35">
      <c r="A6" s="4" t="s">
        <v>14</v>
      </c>
      <c r="B6" s="7">
        <f>AVERAGE('fold 1'!B6,'fold 2'!B6,'fold 3'!B6,'fold 4'!B6,'fold 5'!B6)</f>
        <v>0.75195954487989813</v>
      </c>
      <c r="C6" s="7">
        <f>AVERAGE('fold 1'!C6,'fold 2'!C6,'fold 3'!C6,'fold 4'!C6,'fold 5'!C6)</f>
        <v>0.87788501680431741</v>
      </c>
      <c r="D6" s="7">
        <f>AVERAGE('fold 1'!D6,'fold 2'!D6,'fold 3'!D6,'fold 4'!D6,'fold 5'!D6)</f>
        <v>0.75195954487989813</v>
      </c>
      <c r="E6" s="7">
        <f>AVERAGE('fold 1'!E6,'fold 2'!E6,'fold 3'!E6,'fold 4'!E6,'fold 5'!E6)</f>
        <v>0.78488343656255977</v>
      </c>
      <c r="F6" s="7">
        <f>AVERAGE('fold 1'!F6,'fold 2'!F6,'fold 3'!F6,'fold 4'!F6,'fold 5'!F6)</f>
        <v>0.70140481747595262</v>
      </c>
      <c r="G6" s="7">
        <f>AVERAGE('fold 1'!G6,'fold 2'!G6,'fold 3'!G6,'fold 4'!G6,'fold 5'!G6)</f>
        <v>0.72977602917209372</v>
      </c>
      <c r="H6" s="7">
        <f>AVERAGE('fold 1'!H6,'fold 2'!H6,'fold 3'!H6,'fold 4'!H6,'fold 5'!H6)</f>
        <v>0.69965652534860923</v>
      </c>
      <c r="I6" s="7">
        <f>AVERAGE('fold 1'!I6,'fold 2'!I6,'fold 3'!I6,'fold 4'!I6,'fold 5'!I6)</f>
        <v>0.96351820603664362</v>
      </c>
      <c r="J6" s="7">
        <f>AVERAGE('fold 1'!J6,'fold 2'!J6,'fold 3'!J6,'fold 4'!J6,'fold 5'!J6)</f>
        <v>1</v>
      </c>
      <c r="L6" s="4" t="s">
        <v>14</v>
      </c>
      <c r="M6" s="7">
        <f>_xlfn.STDEV.P('fold 1'!B6,'fold 2'!B6,'fold 3'!B6,'fold 4'!B6,'fold 5'!B6)</f>
        <v>1.4708510313273375E-2</v>
      </c>
      <c r="N6" s="7">
        <f>_xlfn.STDEV.P('fold 1'!C6,'fold 2'!C6,'fold 3'!C6,'fold 4'!C6,'fold 5'!C6)</f>
        <v>5.6757701797249495E-3</v>
      </c>
      <c r="O6" s="7">
        <f>_xlfn.STDEV.P('fold 1'!D6,'fold 2'!D6,'fold 3'!D6,'fold 4'!D6,'fold 5'!D6)</f>
        <v>1.4708510313273375E-2</v>
      </c>
      <c r="P6" s="7">
        <f>_xlfn.STDEV.P('fold 1'!E6,'fold 2'!E6,'fold 3'!E6,'fold 4'!E6,'fold 5'!E6)</f>
        <v>1.3458216136325857E-2</v>
      </c>
      <c r="Q6" s="7">
        <f>_xlfn.STDEV.P('fold 1'!F6,'fold 2'!F6,'fold 3'!F6,'fold 4'!F6,'fold 5'!F6)</f>
        <v>1.3633592941373842E-2</v>
      </c>
      <c r="R6" s="7">
        <f>_xlfn.STDEV.P('fold 1'!G6,'fold 2'!G6,'fold 3'!G6,'fold 4'!G6,'fold 5'!G6)</f>
        <v>1.2683047997315282E-2</v>
      </c>
      <c r="S6" s="7">
        <f>_xlfn.STDEV.P('fold 1'!H6,'fold 2'!H6,'fold 3'!H6,'fold 4'!H6,'fold 5'!H6)</f>
        <v>1.6113620343915971E-2</v>
      </c>
      <c r="T6" s="7">
        <f>_xlfn.STDEV.P('fold 1'!I6,'fold 2'!I6,'fold 3'!I6,'fold 4'!I6,'fold 5'!I6)</f>
        <v>2.0749515947967099E-3</v>
      </c>
      <c r="U6" s="7">
        <f>_xlfn.STDEV.P('fold 1'!J6,'fold 2'!J6,'fold 3'!J6,'fold 4'!J6,'fold 5'!J6)</f>
        <v>0</v>
      </c>
    </row>
    <row r="7" spans="1:21" x14ac:dyDescent="0.35">
      <c r="A7" s="4" t="s">
        <v>15</v>
      </c>
      <c r="B7" s="7">
        <f>AVERAGE('fold 1'!B7,'fold 2'!B7,'fold 3'!B7,'fold 4'!B7,'fold 5'!B7)</f>
        <v>0.7565107458912762</v>
      </c>
      <c r="C7" s="7">
        <f>AVERAGE('fold 1'!C7,'fold 2'!C7,'fold 3'!C7,'fold 4'!C7,'fold 5'!C7)</f>
        <v>0.88547594596366608</v>
      </c>
      <c r="D7" s="7">
        <f>AVERAGE('fold 1'!D7,'fold 2'!D7,'fold 3'!D7,'fold 4'!D7,'fold 5'!D7)</f>
        <v>0.7565107458912762</v>
      </c>
      <c r="E7" s="7">
        <f>AVERAGE('fold 1'!E7,'fold 2'!E7,'fold 3'!E7,'fold 4'!E7,'fold 5'!E7)</f>
        <v>0.78900948379056901</v>
      </c>
      <c r="F7" s="7">
        <f>AVERAGE('fold 1'!F7,'fold 2'!F7,'fold 3'!F7,'fold 4'!F7,'fold 5'!F7)</f>
        <v>0.70586960749553129</v>
      </c>
      <c r="G7" s="7">
        <f>AVERAGE('fold 1'!G7,'fold 2'!G7,'fold 3'!G7,'fold 4'!G7,'fold 5'!G7)</f>
        <v>0.73697894945880282</v>
      </c>
      <c r="H7" s="7">
        <f>AVERAGE('fold 1'!H7,'fold 2'!H7,'fold 3'!H7,'fold 4'!H7,'fold 5'!H7)</f>
        <v>0.70553889574963979</v>
      </c>
      <c r="I7" s="7">
        <f>AVERAGE('fold 1'!I7,'fold 2'!I7,'fold 3'!I7,'fold 4'!I7,'fold 5'!I7)</f>
        <v>0.96446227694826325</v>
      </c>
      <c r="J7" s="7">
        <f>AVERAGE('fold 1'!J7,'fold 2'!J7,'fold 3'!J7,'fold 4'!J7,'fold 5'!J7)</f>
        <v>1</v>
      </c>
      <c r="L7" s="4" t="s">
        <v>15</v>
      </c>
      <c r="M7" s="7">
        <f>_xlfn.STDEV.P('fold 1'!B7,'fold 2'!B7,'fold 3'!B7,'fold 4'!B7,'fold 5'!B7)</f>
        <v>1.2428020963281302E-2</v>
      </c>
      <c r="N7" s="7">
        <f>_xlfn.STDEV.P('fold 1'!C7,'fold 2'!C7,'fold 3'!C7,'fold 4'!C7,'fold 5'!C7)</f>
        <v>4.1555659345209033E-3</v>
      </c>
      <c r="O7" s="7">
        <f>_xlfn.STDEV.P('fold 1'!D7,'fold 2'!D7,'fold 3'!D7,'fold 4'!D7,'fold 5'!D7)</f>
        <v>1.2428020963281302E-2</v>
      </c>
      <c r="P7" s="7">
        <f>_xlfn.STDEV.P('fold 1'!E7,'fold 2'!E7,'fold 3'!E7,'fold 4'!E7,'fold 5'!E7)</f>
        <v>1.1665194642379124E-2</v>
      </c>
      <c r="Q7" s="7">
        <f>_xlfn.STDEV.P('fold 1'!F7,'fold 2'!F7,'fold 3'!F7,'fold 4'!F7,'fold 5'!F7)</f>
        <v>1.242399589046324E-2</v>
      </c>
      <c r="R7" s="7">
        <f>_xlfn.STDEV.P('fold 1'!G7,'fold 2'!G7,'fold 3'!G7,'fold 4'!G7,'fold 5'!G7)</f>
        <v>9.8133982664740157E-3</v>
      </c>
      <c r="S7" s="7">
        <f>_xlfn.STDEV.P('fold 1'!H7,'fold 2'!H7,'fold 3'!H7,'fold 4'!H7,'fold 5'!H7)</f>
        <v>1.3376257849637186E-2</v>
      </c>
      <c r="T7" s="7">
        <f>_xlfn.STDEV.P('fold 1'!I7,'fold 2'!I7,'fold 3'!I7,'fold 4'!I7,'fold 5'!I7)</f>
        <v>1.6740361246885204E-3</v>
      </c>
      <c r="U7" s="7">
        <f>_xlfn.STDEV.P('fold 1'!J7,'fold 2'!J7,'fold 3'!J7,'fold 4'!J7,'fold 5'!J7)</f>
        <v>0</v>
      </c>
    </row>
    <row r="8" spans="1:21" ht="29" x14ac:dyDescent="0.35">
      <c r="A8" s="4" t="s">
        <v>16</v>
      </c>
      <c r="B8" s="7">
        <f>AVERAGE('fold 1'!B8,'fold 2'!B8,'fold 3'!B8,'fold 4'!B8,'fold 5'!B8)</f>
        <v>0.79317319848293266</v>
      </c>
      <c r="C8" s="7">
        <f>AVERAGE('fold 1'!C8,'fold 2'!C8,'fold 3'!C8,'fold 4'!C8,'fold 5'!C8)</f>
        <v>0.89397811795274029</v>
      </c>
      <c r="D8" s="7">
        <f>AVERAGE('fold 1'!D8,'fold 2'!D8,'fold 3'!D8,'fold 4'!D8,'fold 5'!D8)</f>
        <v>0.79317319848293266</v>
      </c>
      <c r="E8" s="7">
        <f>AVERAGE('fold 1'!E8,'fold 2'!E8,'fold 3'!E8,'fold 4'!E8,'fold 5'!E8)</f>
        <v>0.8217602070108565</v>
      </c>
      <c r="F8" s="7">
        <f>AVERAGE('fold 1'!F8,'fold 2'!F8,'fold 3'!F8,'fold 4'!F8,'fold 5'!F8)</f>
        <v>0.74229015264753984</v>
      </c>
      <c r="G8" s="7">
        <f>AVERAGE('fold 1'!G8,'fold 2'!G8,'fold 3'!G8,'fold 4'!G8,'fold 5'!G8)</f>
        <v>0.76736574145771808</v>
      </c>
      <c r="H8" s="7">
        <f>AVERAGE('fold 1'!H8,'fold 2'!H8,'fold 3'!H8,'fold 4'!H8,'fold 5'!H8)</f>
        <v>0.74583638839364197</v>
      </c>
      <c r="I8" s="7">
        <f>AVERAGE('fold 1'!I8,'fold 2'!I8,'fold 3'!I8,'fold 4'!I8,'fold 5'!I8)</f>
        <v>0.96941868752406823</v>
      </c>
      <c r="J8" s="7">
        <f>AVERAGE('fold 1'!J8,'fold 2'!J8,'fold 3'!J8,'fold 4'!J8,'fold 5'!J8)</f>
        <v>1</v>
      </c>
      <c r="L8" s="4" t="s">
        <v>16</v>
      </c>
      <c r="M8" s="7">
        <f>_xlfn.STDEV.P('fold 1'!B8,'fold 2'!B8,'fold 3'!B8,'fold 4'!B8,'fold 5'!B8)</f>
        <v>1.4493967785554306E-2</v>
      </c>
      <c r="N8" s="7">
        <f>_xlfn.STDEV.P('fold 1'!C8,'fold 2'!C8,'fold 3'!C8,'fold 4'!C8,'fold 5'!C8)</f>
        <v>4.0629992521497424E-3</v>
      </c>
      <c r="O8" s="7">
        <f>_xlfn.STDEV.P('fold 1'!D8,'fold 2'!D8,'fold 3'!D8,'fold 4'!D8,'fold 5'!D8)</f>
        <v>1.4493967785554306E-2</v>
      </c>
      <c r="P8" s="7">
        <f>_xlfn.STDEV.P('fold 1'!E8,'fold 2'!E8,'fold 3'!E8,'fold 4'!E8,'fold 5'!E8)</f>
        <v>1.2495604907809618E-2</v>
      </c>
      <c r="Q8" s="7">
        <f>_xlfn.STDEV.P('fold 1'!F8,'fold 2'!F8,'fold 3'!F8,'fold 4'!F8,'fold 5'!F8)</f>
        <v>1.4513920349604307E-2</v>
      </c>
      <c r="R8" s="7">
        <f>_xlfn.STDEV.P('fold 1'!G8,'fold 2'!G8,'fold 3'!G8,'fold 4'!G8,'fold 5'!G8)</f>
        <v>1.2736198229852834E-2</v>
      </c>
      <c r="S8" s="7">
        <f>_xlfn.STDEV.P('fold 1'!H8,'fold 2'!H8,'fold 3'!H8,'fold 4'!H8,'fold 5'!H8)</f>
        <v>1.6227080285480863E-2</v>
      </c>
      <c r="T8" s="7">
        <f>_xlfn.STDEV.P('fold 1'!I8,'fold 2'!I8,'fold 3'!I8,'fold 4'!I8,'fold 5'!I8)</f>
        <v>1.9821864639460972E-3</v>
      </c>
      <c r="U8" s="7">
        <f>_xlfn.STDEV.P('fold 1'!J8,'fold 2'!J8,'fold 3'!J8,'fold 4'!J8,'fold 5'!J8)</f>
        <v>0</v>
      </c>
    </row>
    <row r="9" spans="1:21" x14ac:dyDescent="0.35">
      <c r="A9" s="4" t="s">
        <v>17</v>
      </c>
      <c r="B9" s="7">
        <f>AVERAGE('fold 1'!B9,'fold 2'!B9,'fold 3'!B9,'fold 4'!B9,'fold 5'!B9)</f>
        <v>5.6384323640960757E-2</v>
      </c>
      <c r="C9" s="7">
        <f>AVERAGE('fold 1'!C9,'fold 2'!C9,'fold 3'!C9,'fold 4'!C9,'fold 5'!C9)</f>
        <v>3.1795755344976085E-3</v>
      </c>
      <c r="D9" s="7">
        <f>AVERAGE('fold 1'!D9,'fold 2'!D9,'fold 3'!D9,'fold 4'!D9,'fold 5'!D9)</f>
        <v>5.6384323640960757E-2</v>
      </c>
      <c r="E9" s="7">
        <f>AVERAGE('fold 1'!E9,'fold 2'!E9,'fold 3'!E9,'fold 4'!E9,'fold 5'!E9)</f>
        <v>6.0196572237604237E-3</v>
      </c>
      <c r="F9" s="7">
        <f>AVERAGE('fold 1'!F9,'fold 2'!F9,'fold 3'!F9,'fold 4'!F9,'fold 5'!F9)</f>
        <v>3.1795755344976085E-3</v>
      </c>
      <c r="G9" s="7">
        <f>AVERAGE('fold 1'!G9,'fold 2'!G9,'fold 3'!G9,'fold 4'!G9,'fold 5'!G9)</f>
        <v>0</v>
      </c>
      <c r="H9" s="7">
        <f>AVERAGE('fold 1'!H9,'fold 2'!H9,'fold 3'!H9,'fold 4'!H9,'fold 5'!H9)</f>
        <v>0</v>
      </c>
      <c r="I9" s="7">
        <f>AVERAGE('fold 1'!I9,'fold 2'!I9,'fold 3'!I9,'fold 4'!I9,'fold 5'!I9)</f>
        <v>0.875</v>
      </c>
      <c r="J9" s="7">
        <f>AVERAGE('fold 1'!J9,'fold 2'!J9,'fold 3'!J9,'fold 4'!J9,'fold 5'!J9)</f>
        <v>1</v>
      </c>
      <c r="L9" s="4" t="s">
        <v>17</v>
      </c>
      <c r="M9" s="7">
        <f>_xlfn.STDEV.P('fold 1'!B9,'fold 2'!B9,'fold 3'!B9,'fold 4'!B9,'fold 5'!B9)</f>
        <v>6.1934001081751216E-4</v>
      </c>
      <c r="N9" s="7">
        <f>_xlfn.STDEV.P('fold 1'!C9,'fold 2'!C9,'fold 3'!C9,'fold 4'!C9,'fold 5'!C9)</f>
        <v>6.9685538511701873E-5</v>
      </c>
      <c r="O9" s="7">
        <f>_xlfn.STDEV.P('fold 1'!D9,'fold 2'!D9,'fold 3'!D9,'fold 4'!D9,'fold 5'!D9)</f>
        <v>6.1934001081751216E-4</v>
      </c>
      <c r="P9" s="7">
        <f>_xlfn.STDEV.P('fold 1'!E9,'fold 2'!E9,'fold 3'!E9,'fold 4'!E9,'fold 5'!E9)</f>
        <v>1.2843368949075663E-4</v>
      </c>
      <c r="Q9" s="7">
        <f>_xlfn.STDEV.P('fold 1'!F9,'fold 2'!F9,'fold 3'!F9,'fold 4'!F9,'fold 5'!F9)</f>
        <v>6.9685538511701873E-5</v>
      </c>
      <c r="R9" s="7">
        <f>_xlfn.STDEV.P('fold 1'!G9,'fold 2'!G9,'fold 3'!G9,'fold 4'!G9,'fold 5'!G9)</f>
        <v>0</v>
      </c>
      <c r="S9" s="7">
        <f>_xlfn.STDEV.P('fold 1'!H9,'fold 2'!H9,'fold 3'!H9,'fold 4'!H9,'fold 5'!H9)</f>
        <v>0</v>
      </c>
      <c r="T9" s="7">
        <f>_xlfn.STDEV.P('fold 1'!I9,'fold 2'!I9,'fold 3'!I9,'fold 4'!I9,'fold 5'!I9)</f>
        <v>0</v>
      </c>
      <c r="U9" s="7">
        <f>_xlfn.STDEV.P('fold 1'!J9,'fold 2'!J9,'fold 3'!J9,'fold 4'!J9,'fold 5'!J9)</f>
        <v>0</v>
      </c>
    </row>
    <row r="14" spans="1:21" x14ac:dyDescent="0.35">
      <c r="A14" s="8" t="s">
        <v>0</v>
      </c>
      <c r="B14" s="9" t="s">
        <v>1</v>
      </c>
      <c r="C14" s="9" t="s">
        <v>2</v>
      </c>
      <c r="D14" s="9" t="s">
        <v>3</v>
      </c>
      <c r="E14" s="9" t="s">
        <v>4</v>
      </c>
      <c r="F14" s="10" t="s">
        <v>5</v>
      </c>
      <c r="G14" s="10" t="s">
        <v>6</v>
      </c>
      <c r="H14" s="10" t="s">
        <v>7</v>
      </c>
      <c r="I14" s="9" t="s">
        <v>8</v>
      </c>
      <c r="J14" s="9" t="s">
        <v>9</v>
      </c>
      <c r="L14" t="s">
        <v>68</v>
      </c>
      <c r="M14" t="s">
        <v>69</v>
      </c>
      <c r="N14" t="s">
        <v>70</v>
      </c>
      <c r="O14" t="s">
        <v>71</v>
      </c>
      <c r="P14" t="s">
        <v>72</v>
      </c>
      <c r="Q14" t="s">
        <v>73</v>
      </c>
      <c r="R14" t="s">
        <v>74</v>
      </c>
      <c r="S14" t="s">
        <v>75</v>
      </c>
    </row>
    <row r="15" spans="1:21" x14ac:dyDescent="0.35">
      <c r="A15" s="5" t="s">
        <v>10</v>
      </c>
      <c r="B15" s="11" t="str">
        <f>_xlfn.CONCAT(TEXT(B2*100,"0.00"),"±",TEXT(M2*100,"0.00"),"%")</f>
        <v>92.92±1.57%</v>
      </c>
      <c r="C15" s="11" t="str">
        <f t="shared" ref="C15:J15" si="0">_xlfn.CONCAT(TEXT(C2*100,"0.00"),"±",TEXT(N2*100,"0.00"),"%")</f>
        <v>95.08±0.81%</v>
      </c>
      <c r="D15" s="11" t="str">
        <f t="shared" si="0"/>
        <v>92.92±1.57%</v>
      </c>
      <c r="E15" s="11" t="str">
        <f t="shared" si="0"/>
        <v>93.54±1.32%</v>
      </c>
      <c r="F15" s="11" t="str">
        <f t="shared" si="0"/>
        <v>89.07±1.99%</v>
      </c>
      <c r="G15" s="11" t="str">
        <f t="shared" si="0"/>
        <v>91.23±1.79%</v>
      </c>
      <c r="H15" s="11" t="str">
        <f t="shared" si="0"/>
        <v>90.91±1.95%</v>
      </c>
      <c r="I15" s="11" t="str">
        <f t="shared" si="0"/>
        <v>98.94±0.22%</v>
      </c>
      <c r="J15" s="11" t="str">
        <f t="shared" si="0"/>
        <v>100.00±0.00%</v>
      </c>
      <c r="L15" t="s">
        <v>1</v>
      </c>
      <c r="M15" t="s">
        <v>18</v>
      </c>
      <c r="N15" t="s">
        <v>26</v>
      </c>
      <c r="O15" t="s">
        <v>34</v>
      </c>
      <c r="P15" t="s">
        <v>41</v>
      </c>
      <c r="Q15" t="s">
        <v>48</v>
      </c>
      <c r="R15" t="s">
        <v>54</v>
      </c>
      <c r="S15" t="s">
        <v>61</v>
      </c>
    </row>
    <row r="16" spans="1:21" x14ac:dyDescent="0.35">
      <c r="A16" s="5" t="s">
        <v>11</v>
      </c>
      <c r="B16" s="11" t="str">
        <f t="shared" ref="B16:B22" si="1">_xlfn.CONCAT(TEXT(B3*100,"0.00"),"±",TEXT(M3*100,"0.00"),"%")</f>
        <v>69.20±0.94%</v>
      </c>
      <c r="C16" s="11" t="str">
        <f t="shared" ref="C16:C22" si="2">_xlfn.CONCAT(TEXT(C3*100,"0.00"),"±",TEXT(N3*100,"0.00"),"%")</f>
        <v>75.38±1.07%</v>
      </c>
      <c r="D16" s="11" t="str">
        <f t="shared" ref="D16:D22" si="3">_xlfn.CONCAT(TEXT(D3*100,"0.00"),"±",TEXT(O3*100,"0.00"),"%")</f>
        <v>69.20±0.94%</v>
      </c>
      <c r="E16" s="11" t="str">
        <f t="shared" ref="E16:E22" si="4">_xlfn.CONCAT(TEXT(E3*100,"0.00"),"±",TEXT(P3*100,"0.00"),"%")</f>
        <v>69.07±1.06%</v>
      </c>
      <c r="F16" s="11" t="str">
        <f t="shared" ref="F16:F22" si="5">_xlfn.CONCAT(TEXT(F3*100,"0.00"),"±",TEXT(Q3*100,"0.00"),"%")</f>
        <v>53.06±1.23%</v>
      </c>
      <c r="G16" s="11" t="str">
        <f t="shared" ref="G16:G22" si="6">_xlfn.CONCAT(TEXT(G3*100,"0.00"),"±",TEXT(R3*100,"0.00"),"%")</f>
        <v>64.45±1.11%</v>
      </c>
      <c r="H16" s="11" t="str">
        <f t="shared" ref="H16:H22" si="7">_xlfn.CONCAT(TEXT(H3*100,"0.00"),"±",TEXT(S3*100,"0.00"),"%")</f>
        <v>62.75±1.09%</v>
      </c>
      <c r="I16" s="11" t="str">
        <f t="shared" ref="I16:I22" si="8">_xlfn.CONCAT(TEXT(I3*100,"0.00"),"±",TEXT(T3*100,"0.00"),"%")</f>
        <v>95.61±0.15%</v>
      </c>
      <c r="J16" s="11" t="str">
        <f t="shared" ref="J16:J22" si="9">_xlfn.CONCAT(TEXT(J3*100,"0.00"),"±",TEXT(U3*100,"0.00"),"%")</f>
        <v>98.87±0.47%</v>
      </c>
      <c r="L16" t="s">
        <v>2</v>
      </c>
      <c r="M16" t="s">
        <v>19</v>
      </c>
      <c r="N16" t="s">
        <v>27</v>
      </c>
      <c r="O16" t="s">
        <v>35</v>
      </c>
      <c r="P16" t="s">
        <v>42</v>
      </c>
      <c r="Q16" t="s">
        <v>49</v>
      </c>
      <c r="R16" t="s">
        <v>55</v>
      </c>
      <c r="S16" t="s">
        <v>62</v>
      </c>
    </row>
    <row r="17" spans="1:19" x14ac:dyDescent="0.35">
      <c r="A17" s="5" t="s">
        <v>12</v>
      </c>
      <c r="B17" s="11" t="str">
        <f t="shared" si="1"/>
        <v>75.30±1.48%</v>
      </c>
      <c r="C17" s="11" t="str">
        <f t="shared" si="2"/>
        <v>87.62±0.57%</v>
      </c>
      <c r="D17" s="11" t="str">
        <f t="shared" si="3"/>
        <v>75.30±1.48%</v>
      </c>
      <c r="E17" s="11" t="str">
        <f t="shared" si="4"/>
        <v>78.64±1.35%</v>
      </c>
      <c r="F17" s="11" t="str">
        <f t="shared" si="5"/>
        <v>70.39±1.42%</v>
      </c>
      <c r="G17" s="11" t="str">
        <f t="shared" si="6"/>
        <v>72.90±1.28%</v>
      </c>
      <c r="H17" s="11" t="str">
        <f t="shared" si="7"/>
        <v>70.03±1.62%</v>
      </c>
      <c r="I17" s="11" t="str">
        <f t="shared" si="8"/>
        <v>96.35±0.21%</v>
      </c>
      <c r="J17" s="11" t="str">
        <f t="shared" si="9"/>
        <v>100.00±0.00%</v>
      </c>
      <c r="L17" t="s">
        <v>3</v>
      </c>
      <c r="M17" t="s">
        <v>18</v>
      </c>
      <c r="N17" t="s">
        <v>26</v>
      </c>
      <c r="O17" t="s">
        <v>34</v>
      </c>
      <c r="P17" t="s">
        <v>41</v>
      </c>
      <c r="Q17" t="s">
        <v>48</v>
      </c>
      <c r="R17" t="s">
        <v>54</v>
      </c>
      <c r="S17" t="s">
        <v>61</v>
      </c>
    </row>
    <row r="18" spans="1:19" x14ac:dyDescent="0.35">
      <c r="A18" s="12" t="s">
        <v>13</v>
      </c>
      <c r="B18" s="9" t="str">
        <f>_xlfn.CONCAT(TEXT(B5*100,"0.00"),"±",TEXT(M5*100,"0.00"),"%")</f>
        <v>97.70±0.60%</v>
      </c>
      <c r="C18" s="11" t="str">
        <f t="shared" si="2"/>
        <v>97.76±0.60%</v>
      </c>
      <c r="D18" s="11" t="str">
        <f t="shared" si="3"/>
        <v>97.70±0.60%</v>
      </c>
      <c r="E18" s="11" t="str">
        <f t="shared" si="4"/>
        <v>97.72±0.59%</v>
      </c>
      <c r="F18" s="11" t="str">
        <f t="shared" si="5"/>
        <v>95.77±1.03%</v>
      </c>
      <c r="G18" s="11" t="str">
        <f t="shared" si="6"/>
        <v>96.99±0.78%</v>
      </c>
      <c r="H18" s="11" t="str">
        <f t="shared" si="7"/>
        <v>96.98±0.78%</v>
      </c>
      <c r="I18" s="11" t="str">
        <f t="shared" si="8"/>
        <v>99.61±0.11%</v>
      </c>
      <c r="J18" s="11" t="str">
        <f t="shared" si="9"/>
        <v>100.00±0.00%</v>
      </c>
      <c r="L18" t="s">
        <v>4</v>
      </c>
      <c r="M18" t="s">
        <v>20</v>
      </c>
      <c r="N18" t="s">
        <v>28</v>
      </c>
      <c r="O18" t="s">
        <v>36</v>
      </c>
      <c r="P18" t="s">
        <v>43</v>
      </c>
      <c r="Q18" t="s">
        <v>50</v>
      </c>
      <c r="R18" t="s">
        <v>56</v>
      </c>
      <c r="S18" t="s">
        <v>63</v>
      </c>
    </row>
    <row r="19" spans="1:19" x14ac:dyDescent="0.35">
      <c r="A19" s="5" t="s">
        <v>14</v>
      </c>
      <c r="B19" s="11" t="str">
        <f t="shared" si="1"/>
        <v>75.20±1.47%</v>
      </c>
      <c r="C19" s="11" t="str">
        <f t="shared" si="2"/>
        <v>87.79±0.57%</v>
      </c>
      <c r="D19" s="11" t="str">
        <f t="shared" si="3"/>
        <v>75.20±1.47%</v>
      </c>
      <c r="E19" s="11" t="str">
        <f t="shared" si="4"/>
        <v>78.49±1.35%</v>
      </c>
      <c r="F19" s="11" t="str">
        <f t="shared" si="5"/>
        <v>70.14±1.36%</v>
      </c>
      <c r="G19" s="11" t="str">
        <f t="shared" si="6"/>
        <v>72.98±1.27%</v>
      </c>
      <c r="H19" s="11" t="str">
        <f t="shared" si="7"/>
        <v>69.97±1.61%</v>
      </c>
      <c r="I19" s="11" t="str">
        <f t="shared" si="8"/>
        <v>96.35±0.21%</v>
      </c>
      <c r="J19" s="11" t="str">
        <f t="shared" si="9"/>
        <v>100.00±0.00%</v>
      </c>
      <c r="L19" t="s">
        <v>5</v>
      </c>
      <c r="M19" t="s">
        <v>21</v>
      </c>
      <c r="N19" t="s">
        <v>29</v>
      </c>
      <c r="O19" t="s">
        <v>37</v>
      </c>
      <c r="P19" t="s">
        <v>44</v>
      </c>
      <c r="Q19" t="s">
        <v>51</v>
      </c>
      <c r="R19" t="s">
        <v>57</v>
      </c>
      <c r="S19" t="s">
        <v>64</v>
      </c>
    </row>
    <row r="20" spans="1:19" x14ac:dyDescent="0.35">
      <c r="A20" s="5" t="s">
        <v>15</v>
      </c>
      <c r="B20" s="11" t="str">
        <f t="shared" si="1"/>
        <v>75.65±1.24%</v>
      </c>
      <c r="C20" s="11" t="str">
        <f t="shared" si="2"/>
        <v>88.55±0.42%</v>
      </c>
      <c r="D20" s="11" t="str">
        <f t="shared" si="3"/>
        <v>75.65±1.24%</v>
      </c>
      <c r="E20" s="11" t="str">
        <f t="shared" si="4"/>
        <v>78.90±1.17%</v>
      </c>
      <c r="F20" s="11" t="str">
        <f t="shared" si="5"/>
        <v>70.59±1.24%</v>
      </c>
      <c r="G20" s="11" t="str">
        <f t="shared" si="6"/>
        <v>73.70±0.98%</v>
      </c>
      <c r="H20" s="11" t="str">
        <f t="shared" si="7"/>
        <v>70.55±1.34%</v>
      </c>
      <c r="I20" s="11" t="str">
        <f t="shared" si="8"/>
        <v>96.45±0.17%</v>
      </c>
      <c r="J20" s="11" t="str">
        <f t="shared" si="9"/>
        <v>100.00±0.00%</v>
      </c>
      <c r="L20" t="s">
        <v>6</v>
      </c>
      <c r="M20" t="s">
        <v>22</v>
      </c>
      <c r="N20" t="s">
        <v>30</v>
      </c>
      <c r="O20" t="s">
        <v>38</v>
      </c>
      <c r="P20" t="s">
        <v>45</v>
      </c>
      <c r="Q20" t="s">
        <v>52</v>
      </c>
      <c r="R20" t="s">
        <v>58</v>
      </c>
      <c r="S20" t="s">
        <v>65</v>
      </c>
    </row>
    <row r="21" spans="1:19" x14ac:dyDescent="0.35">
      <c r="A21" s="5" t="s">
        <v>16</v>
      </c>
      <c r="B21" s="11" t="str">
        <f t="shared" si="1"/>
        <v>79.32±1.45%</v>
      </c>
      <c r="C21" s="11" t="str">
        <f t="shared" si="2"/>
        <v>89.40±0.41%</v>
      </c>
      <c r="D21" s="11" t="str">
        <f t="shared" si="3"/>
        <v>79.32±1.45%</v>
      </c>
      <c r="E21" s="11" t="str">
        <f t="shared" si="4"/>
        <v>82.18±1.25%</v>
      </c>
      <c r="F21" s="11" t="str">
        <f t="shared" si="5"/>
        <v>74.23±1.45%</v>
      </c>
      <c r="G21" s="11" t="str">
        <f t="shared" si="6"/>
        <v>76.74±1.27%</v>
      </c>
      <c r="H21" s="11" t="str">
        <f t="shared" si="7"/>
        <v>74.58±1.62%</v>
      </c>
      <c r="I21" s="11" t="str">
        <f t="shared" si="8"/>
        <v>96.94±0.20%</v>
      </c>
      <c r="J21" s="11" t="str">
        <f t="shared" si="9"/>
        <v>100.00±0.00%</v>
      </c>
      <c r="L21" t="s">
        <v>7</v>
      </c>
      <c r="M21" t="s">
        <v>23</v>
      </c>
      <c r="N21" t="s">
        <v>31</v>
      </c>
      <c r="O21" t="s">
        <v>39</v>
      </c>
      <c r="P21" t="s">
        <v>46</v>
      </c>
      <c r="Q21" t="s">
        <v>53</v>
      </c>
      <c r="R21" t="s">
        <v>59</v>
      </c>
      <c r="S21" t="s">
        <v>66</v>
      </c>
    </row>
    <row r="22" spans="1:19" x14ac:dyDescent="0.35">
      <c r="A22" s="5" t="s">
        <v>17</v>
      </c>
      <c r="B22" s="11" t="str">
        <f t="shared" si="1"/>
        <v>5.64±0.06%</v>
      </c>
      <c r="C22" s="11" t="str">
        <f t="shared" si="2"/>
        <v>0.32±0.01%</v>
      </c>
      <c r="D22" s="11" t="str">
        <f t="shared" si="3"/>
        <v>5.64±0.06%</v>
      </c>
      <c r="E22" s="11" t="str">
        <f t="shared" si="4"/>
        <v>0.60±0.01%</v>
      </c>
      <c r="F22" s="11" t="str">
        <f t="shared" si="5"/>
        <v>0.32±0.01%</v>
      </c>
      <c r="G22" s="11" t="str">
        <f t="shared" si="6"/>
        <v>0.00±0.00%</v>
      </c>
      <c r="H22" s="11" t="str">
        <f t="shared" si="7"/>
        <v>0.00±0.00%</v>
      </c>
      <c r="I22" s="11" t="str">
        <f t="shared" si="8"/>
        <v>87.50±0.00%</v>
      </c>
      <c r="J22" s="11" t="str">
        <f t="shared" si="9"/>
        <v>100.00±0.00%</v>
      </c>
      <c r="L22" t="s">
        <v>8</v>
      </c>
      <c r="M22" t="s">
        <v>24</v>
      </c>
      <c r="N22" t="s">
        <v>32</v>
      </c>
      <c r="O22" t="s">
        <v>40</v>
      </c>
      <c r="P22" t="s">
        <v>47</v>
      </c>
      <c r="Q22" t="s">
        <v>40</v>
      </c>
      <c r="R22" t="s">
        <v>60</v>
      </c>
      <c r="S22" t="s">
        <v>67</v>
      </c>
    </row>
    <row r="23" spans="1:19" x14ac:dyDescent="0.35">
      <c r="L23" t="s">
        <v>9</v>
      </c>
      <c r="M23" t="s">
        <v>25</v>
      </c>
      <c r="N23" t="s">
        <v>33</v>
      </c>
      <c r="O23" t="s">
        <v>25</v>
      </c>
      <c r="P23" t="s">
        <v>25</v>
      </c>
      <c r="Q23" t="s">
        <v>25</v>
      </c>
      <c r="R23" t="s">
        <v>25</v>
      </c>
      <c r="S23" t="s">
        <v>25</v>
      </c>
    </row>
    <row r="24" spans="1:19" x14ac:dyDescent="0.3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  <c r="J24" t="s">
        <v>9</v>
      </c>
    </row>
    <row r="25" spans="1:19" x14ac:dyDescent="0.35">
      <c r="A25" t="s">
        <v>10</v>
      </c>
      <c r="B25" t="s">
        <v>18</v>
      </c>
      <c r="C25" t="s">
        <v>19</v>
      </c>
      <c r="D25" t="s">
        <v>18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25</v>
      </c>
    </row>
    <row r="26" spans="1:19" x14ac:dyDescent="0.35">
      <c r="A26" t="s">
        <v>11</v>
      </c>
      <c r="B26" t="s">
        <v>26</v>
      </c>
      <c r="C26" t="s">
        <v>27</v>
      </c>
      <c r="D26" t="s">
        <v>26</v>
      </c>
      <c r="E26" t="s">
        <v>28</v>
      </c>
      <c r="F26" t="s">
        <v>29</v>
      </c>
      <c r="G26" t="s">
        <v>30</v>
      </c>
      <c r="H26" t="s">
        <v>31</v>
      </c>
      <c r="I26" t="s">
        <v>32</v>
      </c>
      <c r="J26" t="s">
        <v>33</v>
      </c>
    </row>
    <row r="27" spans="1:19" x14ac:dyDescent="0.35">
      <c r="A27" t="s">
        <v>12</v>
      </c>
      <c r="B27" t="s">
        <v>34</v>
      </c>
      <c r="C27" t="s">
        <v>35</v>
      </c>
      <c r="D27" t="s">
        <v>34</v>
      </c>
      <c r="E27" t="s">
        <v>36</v>
      </c>
      <c r="F27" t="s">
        <v>37</v>
      </c>
      <c r="G27" t="s">
        <v>38</v>
      </c>
      <c r="H27" t="s">
        <v>39</v>
      </c>
      <c r="I27" t="s">
        <v>40</v>
      </c>
      <c r="J27" t="s">
        <v>25</v>
      </c>
    </row>
    <row r="28" spans="1:19" x14ac:dyDescent="0.35">
      <c r="A28" t="s">
        <v>13</v>
      </c>
      <c r="B28" t="s">
        <v>41</v>
      </c>
      <c r="C28" t="s">
        <v>42</v>
      </c>
      <c r="D28" t="s">
        <v>41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25</v>
      </c>
    </row>
    <row r="29" spans="1:19" x14ac:dyDescent="0.35">
      <c r="A29" t="s">
        <v>14</v>
      </c>
      <c r="B29" t="s">
        <v>48</v>
      </c>
      <c r="C29" t="s">
        <v>49</v>
      </c>
      <c r="D29" t="s">
        <v>48</v>
      </c>
      <c r="E29" t="s">
        <v>50</v>
      </c>
      <c r="F29" t="s">
        <v>51</v>
      </c>
      <c r="G29" t="s">
        <v>52</v>
      </c>
      <c r="H29" t="s">
        <v>53</v>
      </c>
      <c r="I29" t="s">
        <v>40</v>
      </c>
      <c r="J29" t="s">
        <v>25</v>
      </c>
    </row>
    <row r="30" spans="1:19" x14ac:dyDescent="0.35">
      <c r="A30" t="s">
        <v>15</v>
      </c>
      <c r="B30" t="s">
        <v>54</v>
      </c>
      <c r="C30" t="s">
        <v>55</v>
      </c>
      <c r="D30" t="s">
        <v>54</v>
      </c>
      <c r="E30" t="s">
        <v>56</v>
      </c>
      <c r="F30" t="s">
        <v>57</v>
      </c>
      <c r="G30" t="s">
        <v>58</v>
      </c>
      <c r="H30" t="s">
        <v>59</v>
      </c>
      <c r="I30" t="s">
        <v>60</v>
      </c>
      <c r="J30" t="s">
        <v>25</v>
      </c>
    </row>
    <row r="31" spans="1:19" x14ac:dyDescent="0.35">
      <c r="A31" t="s">
        <v>16</v>
      </c>
      <c r="B31" t="s">
        <v>61</v>
      </c>
      <c r="C31" t="s">
        <v>62</v>
      </c>
      <c r="D31" t="s">
        <v>61</v>
      </c>
      <c r="E31" t="s">
        <v>63</v>
      </c>
      <c r="F31" t="s">
        <v>64</v>
      </c>
      <c r="G31" t="s">
        <v>65</v>
      </c>
      <c r="H31" t="s">
        <v>66</v>
      </c>
      <c r="I31" t="s">
        <v>67</v>
      </c>
      <c r="J3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fold 1</vt:lpstr>
      <vt:lpstr>fold 2</vt:lpstr>
      <vt:lpstr>fold 3</vt:lpstr>
      <vt:lpstr>fold 4</vt:lpstr>
      <vt:lpstr>fold 5</vt:lpstr>
      <vt:lpstr>summery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2026-01-19T16:59:39Z</dcterms:created>
  <dcterms:modified xsi:type="dcterms:W3CDTF">2026-01-20T20:07:29Z</dcterms:modified>
</cp:coreProperties>
</file>