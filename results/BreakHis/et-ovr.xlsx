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ustafa Adil\ovr\5-folds breakhis\"/>
    </mc:Choice>
  </mc:AlternateContent>
  <xr:revisionPtr revIDLastSave="0" documentId="13_ncr:1_{B50ED58A-EE0E-4EE3-9C35-959E4705DE67}" xr6:coauthVersionLast="47" xr6:coauthVersionMax="47" xr10:uidLastSave="{00000000-0000-0000-0000-000000000000}"/>
  <bookViews>
    <workbookView xWindow="-110" yWindow="-110" windowWidth="25820" windowHeight="13900" activeTab="5" xr2:uid="{9BAD4A0C-B456-45E7-80C7-C3D9781B9406}"/>
  </bookViews>
  <sheets>
    <sheet name="fold 1" sheetId="1" r:id="rId1"/>
    <sheet name="fold 2" sheetId="2" r:id="rId2"/>
    <sheet name="fold 3" sheetId="3" r:id="rId3"/>
    <sheet name="fold 4" sheetId="4" r:id="rId4"/>
    <sheet name="fold 5" sheetId="5" r:id="rId5"/>
    <sheet name="summary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6" l="1"/>
  <c r="C16" i="6"/>
  <c r="D16" i="6"/>
  <c r="E16" i="6"/>
  <c r="F16" i="6"/>
  <c r="G16" i="6"/>
  <c r="H16" i="6"/>
  <c r="I16" i="6"/>
  <c r="J16" i="6"/>
  <c r="B17" i="6"/>
  <c r="C17" i="6"/>
  <c r="D17" i="6"/>
  <c r="E17" i="6"/>
  <c r="F17" i="6"/>
  <c r="G17" i="6"/>
  <c r="H17" i="6"/>
  <c r="I17" i="6"/>
  <c r="J17" i="6"/>
  <c r="B18" i="6"/>
  <c r="C18" i="6"/>
  <c r="D18" i="6"/>
  <c r="E18" i="6"/>
  <c r="F18" i="6"/>
  <c r="G18" i="6"/>
  <c r="H18" i="6"/>
  <c r="I18" i="6"/>
  <c r="J18" i="6"/>
  <c r="B19" i="6"/>
  <c r="C19" i="6"/>
  <c r="D19" i="6"/>
  <c r="E19" i="6"/>
  <c r="F19" i="6"/>
  <c r="G19" i="6"/>
  <c r="H19" i="6"/>
  <c r="I19" i="6"/>
  <c r="J19" i="6"/>
  <c r="B20" i="6"/>
  <c r="C20" i="6"/>
  <c r="D20" i="6"/>
  <c r="E20" i="6"/>
  <c r="F20" i="6"/>
  <c r="G20" i="6"/>
  <c r="H20" i="6"/>
  <c r="I20" i="6"/>
  <c r="J20" i="6"/>
  <c r="B21" i="6"/>
  <c r="C21" i="6"/>
  <c r="D21" i="6"/>
  <c r="E21" i="6"/>
  <c r="F21" i="6"/>
  <c r="G21" i="6"/>
  <c r="H21" i="6"/>
  <c r="I21" i="6"/>
  <c r="J21" i="6"/>
  <c r="B22" i="6"/>
  <c r="C22" i="6"/>
  <c r="D22" i="6"/>
  <c r="E22" i="6"/>
  <c r="F22" i="6"/>
  <c r="G22" i="6"/>
  <c r="H22" i="6"/>
  <c r="I22" i="6"/>
  <c r="J22" i="6"/>
  <c r="C15" i="6"/>
  <c r="D15" i="6"/>
  <c r="E15" i="6"/>
  <c r="F15" i="6"/>
  <c r="G15" i="6"/>
  <c r="H15" i="6"/>
  <c r="I15" i="6"/>
  <c r="J15" i="6"/>
  <c r="B15" i="6"/>
  <c r="M3" i="6"/>
  <c r="N3" i="6"/>
  <c r="O3" i="6"/>
  <c r="P3" i="6"/>
  <c r="Q3" i="6"/>
  <c r="R3" i="6"/>
  <c r="S3" i="6"/>
  <c r="T3" i="6"/>
  <c r="U3" i="6"/>
  <c r="M4" i="6"/>
  <c r="N4" i="6"/>
  <c r="O4" i="6"/>
  <c r="P4" i="6"/>
  <c r="Q4" i="6"/>
  <c r="R4" i="6"/>
  <c r="S4" i="6"/>
  <c r="T4" i="6"/>
  <c r="U4" i="6"/>
  <c r="M5" i="6"/>
  <c r="N5" i="6"/>
  <c r="O5" i="6"/>
  <c r="P5" i="6"/>
  <c r="Q5" i="6"/>
  <c r="R5" i="6"/>
  <c r="S5" i="6"/>
  <c r="T5" i="6"/>
  <c r="U5" i="6"/>
  <c r="M6" i="6"/>
  <c r="N6" i="6"/>
  <c r="O6" i="6"/>
  <c r="P6" i="6"/>
  <c r="Q6" i="6"/>
  <c r="R6" i="6"/>
  <c r="S6" i="6"/>
  <c r="T6" i="6"/>
  <c r="U6" i="6"/>
  <c r="M7" i="6"/>
  <c r="N7" i="6"/>
  <c r="O7" i="6"/>
  <c r="P7" i="6"/>
  <c r="Q7" i="6"/>
  <c r="R7" i="6"/>
  <c r="S7" i="6"/>
  <c r="T7" i="6"/>
  <c r="U7" i="6"/>
  <c r="M8" i="6"/>
  <c r="N8" i="6"/>
  <c r="O8" i="6"/>
  <c r="P8" i="6"/>
  <c r="Q8" i="6"/>
  <c r="R8" i="6"/>
  <c r="S8" i="6"/>
  <c r="T8" i="6"/>
  <c r="U8" i="6"/>
  <c r="M9" i="6"/>
  <c r="N9" i="6"/>
  <c r="O9" i="6"/>
  <c r="P9" i="6"/>
  <c r="Q9" i="6"/>
  <c r="R9" i="6"/>
  <c r="S9" i="6"/>
  <c r="T9" i="6"/>
  <c r="U9" i="6"/>
  <c r="N2" i="6"/>
  <c r="O2" i="6"/>
  <c r="P2" i="6"/>
  <c r="Q2" i="6"/>
  <c r="R2" i="6"/>
  <c r="S2" i="6"/>
  <c r="T2" i="6"/>
  <c r="U2" i="6"/>
  <c r="M2" i="6"/>
  <c r="B2" i="6"/>
  <c r="B3" i="6"/>
  <c r="C3" i="6"/>
  <c r="D3" i="6"/>
  <c r="E3" i="6"/>
  <c r="F3" i="6"/>
  <c r="G3" i="6"/>
  <c r="H3" i="6"/>
  <c r="I3" i="6"/>
  <c r="J3" i="6"/>
  <c r="B4" i="6"/>
  <c r="C4" i="6"/>
  <c r="D4" i="6"/>
  <c r="E4" i="6"/>
  <c r="F4" i="6"/>
  <c r="G4" i="6"/>
  <c r="H4" i="6"/>
  <c r="I4" i="6"/>
  <c r="J4" i="6"/>
  <c r="B5" i="6"/>
  <c r="C5" i="6"/>
  <c r="D5" i="6"/>
  <c r="E5" i="6"/>
  <c r="F5" i="6"/>
  <c r="G5" i="6"/>
  <c r="H5" i="6"/>
  <c r="I5" i="6"/>
  <c r="J5" i="6"/>
  <c r="B6" i="6"/>
  <c r="C6" i="6"/>
  <c r="D6" i="6"/>
  <c r="E6" i="6"/>
  <c r="F6" i="6"/>
  <c r="G6" i="6"/>
  <c r="H6" i="6"/>
  <c r="I6" i="6"/>
  <c r="J6" i="6"/>
  <c r="B7" i="6"/>
  <c r="C7" i="6"/>
  <c r="D7" i="6"/>
  <c r="E7" i="6"/>
  <c r="F7" i="6"/>
  <c r="G7" i="6"/>
  <c r="H7" i="6"/>
  <c r="I7" i="6"/>
  <c r="J7" i="6"/>
  <c r="B8" i="6"/>
  <c r="C8" i="6"/>
  <c r="D8" i="6"/>
  <c r="E8" i="6"/>
  <c r="F8" i="6"/>
  <c r="G8" i="6"/>
  <c r="H8" i="6"/>
  <c r="I8" i="6"/>
  <c r="J8" i="6"/>
  <c r="B9" i="6"/>
  <c r="C9" i="6"/>
  <c r="D9" i="6"/>
  <c r="E9" i="6"/>
  <c r="F9" i="6"/>
  <c r="G9" i="6"/>
  <c r="H9" i="6"/>
  <c r="I9" i="6"/>
  <c r="J9" i="6"/>
  <c r="C2" i="6"/>
  <c r="D2" i="6"/>
  <c r="E2" i="6"/>
  <c r="F2" i="6"/>
  <c r="G2" i="6"/>
  <c r="H2" i="6"/>
  <c r="I2" i="6"/>
  <c r="J2" i="6"/>
</calcChain>
</file>

<file path=xl/sharedStrings.xml><?xml version="1.0" encoding="utf-8"?>
<sst xmlns="http://schemas.openxmlformats.org/spreadsheetml/2006/main" count="304" uniqueCount="77">
  <si>
    <t>Model</t>
  </si>
  <si>
    <t>Accuracy</t>
  </si>
  <si>
    <t>Precision</t>
  </si>
  <si>
    <t>Recall</t>
  </si>
  <si>
    <t>F1 Score</t>
  </si>
  <si>
    <t>Jaccard Index</t>
  </si>
  <si>
    <t>Matthews CorrCoef</t>
  </si>
  <si>
    <t>Cohen’s Kappa</t>
  </si>
  <si>
    <t>Specificity</t>
  </si>
  <si>
    <t>AUC</t>
  </si>
  <si>
    <t>Random Forest</t>
  </si>
  <si>
    <t>K-Nearest Neighbors</t>
  </si>
  <si>
    <t>Decision Tree</t>
  </si>
  <si>
    <t>Extra Trees</t>
  </si>
  <si>
    <t>Bagging Classifier</t>
  </si>
  <si>
    <t>XGBoost</t>
  </si>
  <si>
    <t>LightGBM</t>
  </si>
  <si>
    <t>CatBoost</t>
  </si>
  <si>
    <t>KNN</t>
  </si>
  <si>
    <t>Bagging</t>
  </si>
  <si>
    <t>Evaluation metrics</t>
  </si>
  <si>
    <t>92.62±1.27%</t>
  </si>
  <si>
    <t>94.96±0.74%</t>
  </si>
  <si>
    <t>93.28±1.07%</t>
  </si>
  <si>
    <t>88.67±1.59%</t>
  </si>
  <si>
    <t>90.88±1.44%</t>
  </si>
  <si>
    <t>90.53±1.57%</t>
  </si>
  <si>
    <t>98.90±0.18%</t>
  </si>
  <si>
    <t>100.00±0.00%</t>
  </si>
  <si>
    <t>69.43±0.85%</t>
  </si>
  <si>
    <t>75.83±0.88%</t>
  </si>
  <si>
    <t>69.27±1.03%</t>
  </si>
  <si>
    <t>53.31±1.19%</t>
  </si>
  <si>
    <t>64.85±0.85%</t>
  </si>
  <si>
    <t>63.08±0.92%</t>
  </si>
  <si>
    <t>95.65±0.14%</t>
  </si>
  <si>
    <t>98.87±0.47%</t>
  </si>
  <si>
    <t>75.42±1.61%</t>
  </si>
  <si>
    <t>87.67±0.62%</t>
  </si>
  <si>
    <t>78.74±1.46%</t>
  </si>
  <si>
    <t>70.49±1.53%</t>
  </si>
  <si>
    <t>73.03±1.40%</t>
  </si>
  <si>
    <t>70.17±1.77%</t>
  </si>
  <si>
    <t>96.37±0.23%</t>
  </si>
  <si>
    <t>97.37±0.59%</t>
  </si>
  <si>
    <t>97.44±0.62%</t>
  </si>
  <si>
    <t>97.39±0.60%</t>
  </si>
  <si>
    <t>95.21±1.02%</t>
  </si>
  <si>
    <t>96.56±0.79%</t>
  </si>
  <si>
    <t>96.55±0.78%</t>
  </si>
  <si>
    <t>99.56±0.11%</t>
  </si>
  <si>
    <t>75.35±1.62%</t>
  </si>
  <si>
    <t>87.77±0.55%</t>
  </si>
  <si>
    <t>78.60±1.46%</t>
  </si>
  <si>
    <t>70.22±1.45%</t>
  </si>
  <si>
    <t>73.08±1.37%</t>
  </si>
  <si>
    <t>70.12±1.76%</t>
  </si>
  <si>
    <t>96.37±0.22%</t>
  </si>
  <si>
    <t>75.80±1.37%</t>
  </si>
  <si>
    <t>88.57±0.42%</t>
  </si>
  <si>
    <t>79.03±1.28%</t>
  </si>
  <si>
    <t>70.72±1.36%</t>
  </si>
  <si>
    <t>73.82±1.07%</t>
  </si>
  <si>
    <t>70.72±1.48%</t>
  </si>
  <si>
    <t>96.47±0.18%</t>
  </si>
  <si>
    <t>79.65±1.68%</t>
  </si>
  <si>
    <t>89.53±0.43%</t>
  </si>
  <si>
    <t>82.45±1.44%</t>
  </si>
  <si>
    <t>74.54±1.68%</t>
  </si>
  <si>
    <t>77.07±1.48%</t>
  </si>
  <si>
    <t>74.97±1.88%</t>
  </si>
  <si>
    <t>96.99±0.23%</t>
  </si>
  <si>
    <t>RF</t>
  </si>
  <si>
    <t>DT</t>
  </si>
  <si>
    <t>ET</t>
  </si>
  <si>
    <t>XGB</t>
  </si>
  <si>
    <t>LGB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</si>
</sst>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0" fontId="2" fillId="0" borderId="0" xfId="1" applyNumberFormat="1" applyFont="1" applyAlignment="1">
      <alignment horizontal="right" vertical="center" wrapText="1"/>
    </xf>
    <xf numFmtId="10" fontId="0" fillId="0" borderId="0" xfId="1" applyNumberFormat="1" applyFont="1" applyAlignment="1">
      <alignment horizontal="right" vertical="center" wrapText="1"/>
    </xf>
    <xf numFmtId="10" fontId="0" fillId="0" borderId="0" xfId="1" applyNumberFormat="1" applyFont="1"/>
    <xf numFmtId="0" fontId="2" fillId="0" borderId="0" xfId="0" applyFont="1" applyAlignment="1">
      <alignment horizontal="center" vertical="center"/>
    </xf>
    <xf numFmtId="10" fontId="2" fillId="0" borderId="0" xfId="1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10" fontId="0" fillId="0" borderId="0" xfId="1" applyNumberFormat="1" applyFont="1" applyAlignment="1">
      <alignment horizontal="right" vertical="center"/>
    </xf>
    <xf numFmtId="0" fontId="2" fillId="0" borderId="0" xfId="0" applyFont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511F0-0CAB-42F7-B3AC-94DC0307BDD5}">
  <dimension ref="A1:J9"/>
  <sheetViews>
    <sheetView workbookViewId="0">
      <selection activeCell="B2" sqref="B2"/>
    </sheetView>
  </sheetViews>
  <sheetFormatPr defaultRowHeight="14.5" x14ac:dyDescent="0.35"/>
  <cols>
    <col min="7" max="7" width="11.36328125" bestFit="1" customWidth="1"/>
  </cols>
  <sheetData>
    <row r="1" spans="1:10" ht="29" x14ac:dyDescent="0.35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29" x14ac:dyDescent="0.35">
      <c r="A2" s="5" t="s">
        <v>10</v>
      </c>
      <c r="B2" s="3">
        <v>0.90391908975979696</v>
      </c>
      <c r="C2" s="3">
        <v>0.935452448502194</v>
      </c>
      <c r="D2" s="3">
        <v>0.90391908975979696</v>
      </c>
      <c r="E2" s="3">
        <v>0.91344706238190398</v>
      </c>
      <c r="F2" s="3">
        <v>0.85838312658920002</v>
      </c>
      <c r="G2" s="3">
        <v>0.88193734782039901</v>
      </c>
      <c r="H2" s="3">
        <v>0.87727295926179205</v>
      </c>
      <c r="I2" s="3">
        <v>0.98554311261164795</v>
      </c>
      <c r="J2" s="3">
        <v>1</v>
      </c>
    </row>
    <row r="3" spans="1:10" ht="58" x14ac:dyDescent="0.35">
      <c r="A3" s="5" t="s">
        <v>11</v>
      </c>
      <c r="B3" s="3">
        <v>0.69152970922882395</v>
      </c>
      <c r="C3" s="3">
        <v>0.75393688720445795</v>
      </c>
      <c r="D3" s="3">
        <v>0.69152970922882395</v>
      </c>
      <c r="E3" s="3">
        <v>0.687622666611447</v>
      </c>
      <c r="F3" s="3">
        <v>0.52769219299221504</v>
      </c>
      <c r="G3" s="3">
        <v>0.64644424927683597</v>
      </c>
      <c r="H3" s="3">
        <v>0.62831667533267799</v>
      </c>
      <c r="I3" s="3">
        <v>0.95599635998305499</v>
      </c>
      <c r="J3" s="3">
        <v>0.99195821185617095</v>
      </c>
    </row>
    <row r="4" spans="1:10" ht="29" x14ac:dyDescent="0.35">
      <c r="A4" s="5" t="s">
        <v>12</v>
      </c>
      <c r="B4" s="3">
        <v>0.74083438685208503</v>
      </c>
      <c r="C4" s="3">
        <v>0.87493415507796002</v>
      </c>
      <c r="D4" s="3">
        <v>0.74083438685208503</v>
      </c>
      <c r="E4" s="3">
        <v>0.77497568496185798</v>
      </c>
      <c r="F4" s="3">
        <v>0.69152820255924796</v>
      </c>
      <c r="G4" s="3">
        <v>0.72053439941345399</v>
      </c>
      <c r="H4" s="3">
        <v>0.68748072712695396</v>
      </c>
      <c r="I4" s="3">
        <v>0.96197811437441405</v>
      </c>
      <c r="J4" s="3">
        <v>1</v>
      </c>
    </row>
    <row r="5" spans="1:10" ht="29" x14ac:dyDescent="0.35">
      <c r="A5" s="5" t="s">
        <v>13</v>
      </c>
      <c r="B5" s="3">
        <v>0.97345132743362806</v>
      </c>
      <c r="C5" s="3">
        <v>0.97360404734455797</v>
      </c>
      <c r="D5" s="3">
        <v>0.97345132743362806</v>
      </c>
      <c r="E5" s="3">
        <v>0.97350182799347096</v>
      </c>
      <c r="F5" s="3">
        <v>0.950923055434992</v>
      </c>
      <c r="G5" s="3">
        <v>0.96516065459362099</v>
      </c>
      <c r="H5" s="3">
        <v>0.96514687368862695</v>
      </c>
      <c r="I5" s="3">
        <v>0.99542542426269398</v>
      </c>
      <c r="J5" s="3">
        <v>1</v>
      </c>
    </row>
    <row r="6" spans="1:10" ht="29" x14ac:dyDescent="0.35">
      <c r="A6" s="5" t="s">
        <v>14</v>
      </c>
      <c r="B6" s="3">
        <v>0.74083438685208503</v>
      </c>
      <c r="C6" s="3">
        <v>0.87566021486760404</v>
      </c>
      <c r="D6" s="3">
        <v>0.74083438685208503</v>
      </c>
      <c r="E6" s="3">
        <v>0.77421767047047596</v>
      </c>
      <c r="F6" s="3">
        <v>0.68995401020567104</v>
      </c>
      <c r="G6" s="3">
        <v>0.72150664955275101</v>
      </c>
      <c r="H6" s="3">
        <v>0.68779662256998098</v>
      </c>
      <c r="I6" s="3">
        <v>0.962076961081477</v>
      </c>
      <c r="J6" s="3">
        <v>1</v>
      </c>
    </row>
    <row r="7" spans="1:10" x14ac:dyDescent="0.35">
      <c r="A7" s="5" t="s">
        <v>15</v>
      </c>
      <c r="B7" s="3">
        <v>0.74462705436156695</v>
      </c>
      <c r="C7" s="3">
        <v>0.87986320518943995</v>
      </c>
      <c r="D7" s="3">
        <v>0.74462705436156695</v>
      </c>
      <c r="E7" s="3">
        <v>0.77816857557974894</v>
      </c>
      <c r="F7" s="3">
        <v>0.69447943379140498</v>
      </c>
      <c r="G7" s="3">
        <v>0.72593259423994105</v>
      </c>
      <c r="H7" s="3">
        <v>0.69222145600659502</v>
      </c>
      <c r="I7" s="3">
        <v>0.96271035578771003</v>
      </c>
      <c r="J7" s="3">
        <v>1</v>
      </c>
    </row>
    <row r="8" spans="1:10" ht="29" x14ac:dyDescent="0.35">
      <c r="A8" s="5" t="s">
        <v>16</v>
      </c>
      <c r="B8" s="3">
        <v>0.77876106194690198</v>
      </c>
      <c r="C8" s="3">
        <v>0.89050428430959405</v>
      </c>
      <c r="D8" s="3">
        <v>0.77876106194690198</v>
      </c>
      <c r="E8" s="3">
        <v>0.80928493682267699</v>
      </c>
      <c r="F8" s="3">
        <v>0.72776034163408099</v>
      </c>
      <c r="G8" s="3">
        <v>0.75479679392228605</v>
      </c>
      <c r="H8" s="3">
        <v>0.72968935512091404</v>
      </c>
      <c r="I8" s="3">
        <v>0.96745491056029098</v>
      </c>
      <c r="J8" s="3">
        <v>1</v>
      </c>
    </row>
    <row r="9" spans="1:10" x14ac:dyDescent="0.35">
      <c r="A9" s="5" t="s">
        <v>17</v>
      </c>
      <c r="B9" s="3">
        <v>5.56257901390644E-2</v>
      </c>
      <c r="C9" s="3">
        <v>3.0942285285952401E-3</v>
      </c>
      <c r="D9" s="3">
        <v>5.56257901390644E-2</v>
      </c>
      <c r="E9" s="3">
        <v>5.8623587212427199E-3</v>
      </c>
      <c r="F9" s="3">
        <v>3.0942285285952401E-3</v>
      </c>
      <c r="G9" s="3">
        <v>0</v>
      </c>
      <c r="H9" s="3">
        <v>0</v>
      </c>
      <c r="I9" s="3">
        <v>0.875</v>
      </c>
      <c r="J9" s="3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C7562-9F86-4BD4-A591-187C6B284E64}">
  <dimension ref="A1:J9"/>
  <sheetViews>
    <sheetView workbookViewId="0">
      <selection activeCell="D14" sqref="D14"/>
    </sheetView>
  </sheetViews>
  <sheetFormatPr defaultRowHeight="14.5" x14ac:dyDescent="0.35"/>
  <cols>
    <col min="7" max="7" width="8.54296875" bestFit="1" customWidth="1"/>
  </cols>
  <sheetData>
    <row r="1" spans="1:10" ht="43.5" x14ac:dyDescent="0.35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5">
      <c r="A2" t="s">
        <v>10</v>
      </c>
      <c r="B2">
        <v>0.9204</v>
      </c>
      <c r="C2">
        <v>0.95709999999999995</v>
      </c>
      <c r="D2">
        <v>0.9204</v>
      </c>
      <c r="E2">
        <v>0.92930000000000001</v>
      </c>
      <c r="F2">
        <v>0.88029999999999997</v>
      </c>
      <c r="G2">
        <v>0.90549999999999997</v>
      </c>
      <c r="H2">
        <v>0.89880000000000004</v>
      </c>
      <c r="I2">
        <v>0.98899999999999999</v>
      </c>
      <c r="J2">
        <v>1</v>
      </c>
    </row>
    <row r="3" spans="1:10" x14ac:dyDescent="0.35">
      <c r="A3" t="s">
        <v>18</v>
      </c>
      <c r="B3">
        <v>0.68140000000000001</v>
      </c>
      <c r="C3">
        <v>0.74319999999999997</v>
      </c>
      <c r="D3">
        <v>0.68140000000000001</v>
      </c>
      <c r="E3">
        <v>0.67689999999999995</v>
      </c>
      <c r="F3">
        <v>0.51500000000000001</v>
      </c>
      <c r="G3">
        <v>0.63470000000000004</v>
      </c>
      <c r="H3">
        <v>0.61619999999999997</v>
      </c>
      <c r="I3">
        <v>0.95420000000000005</v>
      </c>
      <c r="J3">
        <v>0.98019999999999996</v>
      </c>
    </row>
    <row r="4" spans="1:10" x14ac:dyDescent="0.35">
      <c r="A4" t="s">
        <v>12</v>
      </c>
      <c r="B4">
        <v>0.73319999999999996</v>
      </c>
      <c r="C4">
        <v>0.86699999999999999</v>
      </c>
      <c r="D4">
        <v>0.73319999999999996</v>
      </c>
      <c r="E4">
        <v>0.76839999999999997</v>
      </c>
      <c r="F4">
        <v>0.68530000000000002</v>
      </c>
      <c r="G4">
        <v>0.71099999999999997</v>
      </c>
      <c r="H4">
        <v>0.6784</v>
      </c>
      <c r="I4">
        <v>0.96060000000000001</v>
      </c>
      <c r="J4">
        <v>1</v>
      </c>
    </row>
    <row r="5" spans="1:10" x14ac:dyDescent="0.35">
      <c r="A5" t="s">
        <v>13</v>
      </c>
      <c r="B5">
        <v>0.98099999999999998</v>
      </c>
      <c r="C5">
        <v>0.98250000000000004</v>
      </c>
      <c r="D5">
        <v>0.98099999999999998</v>
      </c>
      <c r="E5">
        <v>0.98140000000000005</v>
      </c>
      <c r="F5">
        <v>0.96489999999999998</v>
      </c>
      <c r="G5">
        <v>0.97540000000000004</v>
      </c>
      <c r="H5">
        <v>0.97519999999999996</v>
      </c>
      <c r="I5">
        <v>0.99709999999999999</v>
      </c>
      <c r="J5">
        <v>1</v>
      </c>
    </row>
    <row r="6" spans="1:10" x14ac:dyDescent="0.35">
      <c r="A6" t="s">
        <v>19</v>
      </c>
      <c r="B6">
        <v>0.73070000000000002</v>
      </c>
      <c r="C6">
        <v>0.86809999999999998</v>
      </c>
      <c r="D6">
        <v>0.73070000000000002</v>
      </c>
      <c r="E6">
        <v>0.76580000000000004</v>
      </c>
      <c r="F6">
        <v>0.6825</v>
      </c>
      <c r="G6">
        <v>0.71020000000000005</v>
      </c>
      <c r="H6">
        <v>0.67600000000000005</v>
      </c>
      <c r="I6">
        <v>0.96040000000000003</v>
      </c>
      <c r="J6">
        <v>1</v>
      </c>
    </row>
    <row r="7" spans="1:10" x14ac:dyDescent="0.35">
      <c r="A7" t="s">
        <v>15</v>
      </c>
      <c r="B7">
        <v>0.73960000000000004</v>
      </c>
      <c r="C7">
        <v>0.88239999999999996</v>
      </c>
      <c r="D7">
        <v>0.73960000000000004</v>
      </c>
      <c r="E7">
        <v>0.77290000000000003</v>
      </c>
      <c r="F7">
        <v>0.68879999999999997</v>
      </c>
      <c r="G7">
        <v>0.72450000000000003</v>
      </c>
      <c r="H7">
        <v>0.6875</v>
      </c>
      <c r="I7">
        <v>0.96220000000000006</v>
      </c>
      <c r="J7">
        <v>1</v>
      </c>
    </row>
    <row r="8" spans="1:10" x14ac:dyDescent="0.35">
      <c r="A8" t="s">
        <v>16</v>
      </c>
      <c r="B8">
        <v>0.77500000000000002</v>
      </c>
      <c r="C8">
        <v>0.88959999999999995</v>
      </c>
      <c r="D8">
        <v>0.77500000000000002</v>
      </c>
      <c r="E8">
        <v>0.80589999999999995</v>
      </c>
      <c r="F8">
        <v>0.72399999999999998</v>
      </c>
      <c r="G8">
        <v>0.75170000000000003</v>
      </c>
      <c r="H8">
        <v>0.72560000000000002</v>
      </c>
      <c r="I8">
        <v>0.96689999999999998</v>
      </c>
      <c r="J8">
        <v>1</v>
      </c>
    </row>
    <row r="9" spans="1:10" x14ac:dyDescent="0.35">
      <c r="A9" t="s">
        <v>17</v>
      </c>
      <c r="B9">
        <v>5.6899999999999999E-2</v>
      </c>
      <c r="C9">
        <v>3.2000000000000002E-3</v>
      </c>
      <c r="D9">
        <v>5.6899999999999999E-2</v>
      </c>
      <c r="E9">
        <v>6.1000000000000004E-3</v>
      </c>
      <c r="F9">
        <v>3.2000000000000002E-3</v>
      </c>
      <c r="G9">
        <v>0</v>
      </c>
      <c r="H9">
        <v>0</v>
      </c>
      <c r="I9">
        <v>0.875</v>
      </c>
      <c r="J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A234F-EEB6-4806-8CB7-F8ECED68218D}">
  <dimension ref="A1:J9"/>
  <sheetViews>
    <sheetView workbookViewId="0">
      <selection sqref="A1:J9"/>
    </sheetView>
  </sheetViews>
  <sheetFormatPr defaultRowHeight="14.5" x14ac:dyDescent="0.35"/>
  <sheetData>
    <row r="1" spans="1:10" ht="43.5" x14ac:dyDescent="0.35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29" x14ac:dyDescent="0.35">
      <c r="A2" s="5" t="s">
        <v>10</v>
      </c>
      <c r="B2" s="3">
        <v>0.93805309734513198</v>
      </c>
      <c r="C2" s="3">
        <v>0.95128449776972002</v>
      </c>
      <c r="D2" s="3">
        <v>0.93805309734513198</v>
      </c>
      <c r="E2" s="3">
        <v>0.94225763824930897</v>
      </c>
      <c r="F2" s="3">
        <v>0.90132703983334495</v>
      </c>
      <c r="G2" s="3">
        <v>0.92130691415710497</v>
      </c>
      <c r="H2" s="3">
        <v>0.91982400542794696</v>
      </c>
      <c r="I2" s="3">
        <v>0.99039231508401904</v>
      </c>
      <c r="J2" s="3">
        <v>1</v>
      </c>
    </row>
    <row r="3" spans="1:10" ht="58" x14ac:dyDescent="0.35">
      <c r="A3" s="5" t="s">
        <v>11</v>
      </c>
      <c r="B3" s="3">
        <v>0.70796460176991105</v>
      </c>
      <c r="C3" s="3">
        <v>0.76780334811072903</v>
      </c>
      <c r="D3" s="3">
        <v>0.70796460176991105</v>
      </c>
      <c r="E3" s="3">
        <v>0.70835677547666698</v>
      </c>
      <c r="F3" s="3">
        <v>0.55131690443870995</v>
      </c>
      <c r="G3" s="3">
        <v>0.66110200147023301</v>
      </c>
      <c r="H3" s="3">
        <v>0.64509030024978697</v>
      </c>
      <c r="I3" s="3">
        <v>0.95846187860171395</v>
      </c>
      <c r="J3" s="3">
        <v>0.99378555380276301</v>
      </c>
    </row>
    <row r="4" spans="1:10" ht="29" x14ac:dyDescent="0.35">
      <c r="A4" s="5" t="s">
        <v>12</v>
      </c>
      <c r="B4" s="3">
        <v>0.75221238938053003</v>
      </c>
      <c r="C4" s="3">
        <v>0.87451342319343195</v>
      </c>
      <c r="D4" s="3">
        <v>0.75221238938053003</v>
      </c>
      <c r="E4" s="3">
        <v>0.78588305034508998</v>
      </c>
      <c r="F4" s="3">
        <v>0.70323462866583697</v>
      </c>
      <c r="G4" s="3">
        <v>0.72735798283626096</v>
      </c>
      <c r="H4" s="3">
        <v>0.699128646005162</v>
      </c>
      <c r="I4" s="3">
        <v>0.96330631252155896</v>
      </c>
      <c r="J4" s="3">
        <v>1</v>
      </c>
    </row>
    <row r="5" spans="1:10" ht="29" x14ac:dyDescent="0.35">
      <c r="A5" s="5" t="s">
        <v>13</v>
      </c>
      <c r="B5" s="3">
        <v>0.97977243994943097</v>
      </c>
      <c r="C5" s="3">
        <v>0.98043822211593101</v>
      </c>
      <c r="D5" s="3">
        <v>0.97977243994943097</v>
      </c>
      <c r="E5" s="3">
        <v>0.980024660702696</v>
      </c>
      <c r="F5" s="3">
        <v>0.96266154879320098</v>
      </c>
      <c r="G5" s="3">
        <v>0.97349936053804498</v>
      </c>
      <c r="H5" s="3">
        <v>0.973464056124695</v>
      </c>
      <c r="I5" s="3">
        <v>0.99660135268319106</v>
      </c>
      <c r="J5" s="3">
        <v>1</v>
      </c>
    </row>
    <row r="6" spans="1:10" ht="29" x14ac:dyDescent="0.35">
      <c r="A6" s="5" t="s">
        <v>14</v>
      </c>
      <c r="B6" s="3">
        <v>0.75347661188369097</v>
      </c>
      <c r="C6" s="3">
        <v>0.87921865552685097</v>
      </c>
      <c r="D6" s="3">
        <v>0.75347661188369097</v>
      </c>
      <c r="E6" s="3">
        <v>0.78609160665783895</v>
      </c>
      <c r="F6" s="3">
        <v>0.70229630887907901</v>
      </c>
      <c r="G6" s="3">
        <v>0.73162960213075301</v>
      </c>
      <c r="H6" s="3">
        <v>0.70149094864123096</v>
      </c>
      <c r="I6" s="3">
        <v>0.96380785607802699</v>
      </c>
      <c r="J6" s="3">
        <v>1</v>
      </c>
    </row>
    <row r="7" spans="1:10" x14ac:dyDescent="0.35">
      <c r="A7" s="5" t="s">
        <v>15</v>
      </c>
      <c r="B7" s="3">
        <v>0.76106194690265405</v>
      </c>
      <c r="C7" s="3">
        <v>0.89200280689524503</v>
      </c>
      <c r="D7" s="3">
        <v>0.76106194690265405</v>
      </c>
      <c r="E7" s="3">
        <v>0.79288876860139501</v>
      </c>
      <c r="F7" s="3">
        <v>0.709270402682038</v>
      </c>
      <c r="G7" s="3">
        <v>0.74375241169488204</v>
      </c>
      <c r="H7" s="3">
        <v>0.71129602879720599</v>
      </c>
      <c r="I7" s="3">
        <v>0.965376761691223</v>
      </c>
      <c r="J7" s="3">
        <v>1</v>
      </c>
    </row>
    <row r="8" spans="1:10" ht="29" x14ac:dyDescent="0.35">
      <c r="A8" s="5" t="s">
        <v>16</v>
      </c>
      <c r="B8" s="3">
        <v>0.80025284450063205</v>
      </c>
      <c r="C8" s="3">
        <v>0.89904496627038499</v>
      </c>
      <c r="D8" s="3">
        <v>0.80025284450063205</v>
      </c>
      <c r="E8" s="3">
        <v>0.827942619216961</v>
      </c>
      <c r="F8" s="3">
        <v>0.74879339288304803</v>
      </c>
      <c r="G8" s="3">
        <v>0.77531977275851405</v>
      </c>
      <c r="H8" s="3">
        <v>0.75423285521570305</v>
      </c>
      <c r="I8" s="3">
        <v>0.97059099812743299</v>
      </c>
      <c r="J8" s="3">
        <v>1</v>
      </c>
    </row>
    <row r="9" spans="1:10" x14ac:dyDescent="0.35">
      <c r="A9" s="5" t="s">
        <v>17</v>
      </c>
      <c r="B9" s="3">
        <v>5.6890012642224999E-2</v>
      </c>
      <c r="C9" s="3">
        <v>3.2364735384325201E-3</v>
      </c>
      <c r="D9" s="3">
        <v>5.6890012642224999E-2</v>
      </c>
      <c r="E9" s="3">
        <v>6.1245228921055599E-3</v>
      </c>
      <c r="F9" s="3">
        <v>3.2364735384325201E-3</v>
      </c>
      <c r="G9" s="3">
        <v>0</v>
      </c>
      <c r="H9" s="3">
        <v>0</v>
      </c>
      <c r="I9" s="3">
        <v>0.875</v>
      </c>
      <c r="J9" s="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664FE-6C4E-4B28-A008-9D9A14D45FDA}">
  <dimension ref="A1:J9"/>
  <sheetViews>
    <sheetView workbookViewId="0">
      <selection sqref="A1:J9"/>
    </sheetView>
  </sheetViews>
  <sheetFormatPr defaultRowHeight="14.5" x14ac:dyDescent="0.35"/>
  <sheetData>
    <row r="1" spans="1:10" ht="43.5" x14ac:dyDescent="0.35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29" x14ac:dyDescent="0.35">
      <c r="A2" s="5" t="s">
        <v>10</v>
      </c>
      <c r="B2" s="3">
        <v>0.93426042983565105</v>
      </c>
      <c r="C2" s="3">
        <v>0.95207110255230198</v>
      </c>
      <c r="D2" s="3">
        <v>0.93426042983565105</v>
      </c>
      <c r="E2" s="3">
        <v>0.93954164225586601</v>
      </c>
      <c r="F2" s="3">
        <v>0.89686014351573495</v>
      </c>
      <c r="G2" s="3">
        <v>0.91756597756736102</v>
      </c>
      <c r="H2" s="3">
        <v>0.91524138442643899</v>
      </c>
      <c r="I2" s="3">
        <v>0.99009433671709401</v>
      </c>
      <c r="J2" s="3">
        <v>1</v>
      </c>
    </row>
    <row r="3" spans="1:10" ht="58" x14ac:dyDescent="0.35">
      <c r="A3" s="5" t="s">
        <v>11</v>
      </c>
      <c r="B3" s="3">
        <v>0.69532237673830599</v>
      </c>
      <c r="C3" s="3">
        <v>0.763395734119652</v>
      </c>
      <c r="D3" s="3">
        <v>0.69532237673830599</v>
      </c>
      <c r="E3" s="3">
        <v>0.69526201176533697</v>
      </c>
      <c r="F3" s="3">
        <v>0.535772784131195</v>
      </c>
      <c r="G3" s="3">
        <v>0.65010177888759402</v>
      </c>
      <c r="H3" s="3">
        <v>0.63224916565387601</v>
      </c>
      <c r="I3" s="3">
        <v>0.95695023727963502</v>
      </c>
      <c r="J3" s="3">
        <v>0.98889765285147402</v>
      </c>
    </row>
    <row r="4" spans="1:10" ht="29" x14ac:dyDescent="0.35">
      <c r="A4" s="5" t="s">
        <v>12</v>
      </c>
      <c r="B4" s="3">
        <v>0.77243994943109895</v>
      </c>
      <c r="C4" s="3">
        <v>0.88352437794149297</v>
      </c>
      <c r="D4" s="3">
        <v>0.77243994943109895</v>
      </c>
      <c r="E4" s="3">
        <v>0.80386360312021699</v>
      </c>
      <c r="F4" s="3">
        <v>0.72232173292027202</v>
      </c>
      <c r="G4" s="3">
        <v>0.74626322936703005</v>
      </c>
      <c r="H4" s="3">
        <v>0.72180104417419499</v>
      </c>
      <c r="I4" s="3">
        <v>0.96627069679199695</v>
      </c>
      <c r="J4" s="3">
        <v>1</v>
      </c>
    </row>
    <row r="5" spans="1:10" ht="29" x14ac:dyDescent="0.35">
      <c r="A5" s="5" t="s">
        <v>13</v>
      </c>
      <c r="B5" s="3">
        <v>0.96713021491782503</v>
      </c>
      <c r="C5" s="3">
        <v>0.967793774004991</v>
      </c>
      <c r="D5" s="3">
        <v>0.96713021491782503</v>
      </c>
      <c r="E5" s="3">
        <v>0.96740748508711505</v>
      </c>
      <c r="F5" s="3">
        <v>0.94104471452796501</v>
      </c>
      <c r="G5" s="3">
        <v>0.95689815231824005</v>
      </c>
      <c r="H5" s="3">
        <v>0.95686941494995004</v>
      </c>
      <c r="I5" s="3">
        <v>0.99434312617768705</v>
      </c>
      <c r="J5" s="3">
        <v>1</v>
      </c>
    </row>
    <row r="6" spans="1:10" ht="29" x14ac:dyDescent="0.35">
      <c r="A6" s="5" t="s">
        <v>14</v>
      </c>
      <c r="B6" s="3">
        <v>0.77117572692793901</v>
      </c>
      <c r="C6" s="3">
        <v>0.88271177546476698</v>
      </c>
      <c r="D6" s="3">
        <v>0.77117572692793901</v>
      </c>
      <c r="E6" s="3">
        <v>0.80199995873428098</v>
      </c>
      <c r="F6" s="3">
        <v>0.71811559922374402</v>
      </c>
      <c r="G6" s="3">
        <v>0.74539811894998498</v>
      </c>
      <c r="H6" s="3">
        <v>0.72041883180918997</v>
      </c>
      <c r="I6" s="3">
        <v>0.966103360781287</v>
      </c>
      <c r="J6" s="3">
        <v>1</v>
      </c>
    </row>
    <row r="7" spans="1:10" x14ac:dyDescent="0.35">
      <c r="A7" s="5" t="s">
        <v>15</v>
      </c>
      <c r="B7" s="3">
        <v>0.77243994943109895</v>
      </c>
      <c r="C7" s="3">
        <v>0.88713876177418405</v>
      </c>
      <c r="D7" s="3">
        <v>0.77243994943109895</v>
      </c>
      <c r="E7" s="3">
        <v>0.80373728071714501</v>
      </c>
      <c r="F7" s="3">
        <v>0.72177812282599496</v>
      </c>
      <c r="G7" s="3">
        <v>0.74841410142225495</v>
      </c>
      <c r="H7" s="3">
        <v>0.72241285190672999</v>
      </c>
      <c r="I7" s="3">
        <v>0.96648782831518198</v>
      </c>
      <c r="J7" s="3">
        <v>1</v>
      </c>
    </row>
    <row r="8" spans="1:10" ht="29" x14ac:dyDescent="0.35">
      <c r="A8" s="5" t="s">
        <v>16</v>
      </c>
      <c r="B8" s="3">
        <v>0.81415929203539805</v>
      </c>
      <c r="C8" s="3">
        <v>0.89866670272472504</v>
      </c>
      <c r="D8" s="3">
        <v>0.81415929203539805</v>
      </c>
      <c r="E8" s="3">
        <v>0.83956899849150501</v>
      </c>
      <c r="F8" s="3">
        <v>0.76316489991008396</v>
      </c>
      <c r="G8" s="3">
        <v>0.78579954795117002</v>
      </c>
      <c r="H8" s="3">
        <v>0.76937311822411902</v>
      </c>
      <c r="I8" s="3">
        <v>0.97226260286798405</v>
      </c>
      <c r="J8" s="3">
        <v>1</v>
      </c>
    </row>
    <row r="9" spans="1:10" x14ac:dyDescent="0.35">
      <c r="A9" s="5" t="s">
        <v>17</v>
      </c>
      <c r="B9" s="3">
        <v>5.56257901390644E-2</v>
      </c>
      <c r="C9" s="3">
        <v>3.0942285285952401E-3</v>
      </c>
      <c r="D9" s="3">
        <v>5.56257901390644E-2</v>
      </c>
      <c r="E9" s="3">
        <v>5.8623587212427199E-3</v>
      </c>
      <c r="F9" s="3">
        <v>3.0942285285952401E-3</v>
      </c>
      <c r="G9" s="3">
        <v>0</v>
      </c>
      <c r="H9" s="3">
        <v>0</v>
      </c>
      <c r="I9" s="3">
        <v>0.875</v>
      </c>
      <c r="J9" s="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8F71C-DC55-4D51-96EA-86D9EDF3EFE6}">
  <dimension ref="A1:J9"/>
  <sheetViews>
    <sheetView workbookViewId="0">
      <selection activeCell="I15" sqref="I15"/>
    </sheetView>
  </sheetViews>
  <sheetFormatPr defaultRowHeight="14.5" x14ac:dyDescent="0.35"/>
  <sheetData>
    <row r="1" spans="1:10" ht="43.5" x14ac:dyDescent="0.35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29" x14ac:dyDescent="0.35">
      <c r="A2" s="5" t="s">
        <v>10</v>
      </c>
      <c r="B2" s="3">
        <v>0.93426042983565105</v>
      </c>
      <c r="C2" s="3">
        <v>0.95207110255230198</v>
      </c>
      <c r="D2" s="3">
        <v>0.93426042983565105</v>
      </c>
      <c r="E2" s="3">
        <v>0.93954164225586601</v>
      </c>
      <c r="F2" s="3">
        <v>0.89686014351573495</v>
      </c>
      <c r="G2" s="3">
        <v>0.91756597756736102</v>
      </c>
      <c r="H2" s="3">
        <v>0.91524138442643899</v>
      </c>
      <c r="I2" s="3">
        <v>0.99009433671709401</v>
      </c>
      <c r="J2" s="3">
        <v>1</v>
      </c>
    </row>
    <row r="3" spans="1:10" ht="58" x14ac:dyDescent="0.35">
      <c r="A3" s="5" t="s">
        <v>11</v>
      </c>
      <c r="B3" s="3">
        <v>0.69532237673830599</v>
      </c>
      <c r="C3" s="3">
        <v>0.763395734119652</v>
      </c>
      <c r="D3" s="3">
        <v>0.69532237673830599</v>
      </c>
      <c r="E3" s="3">
        <v>0.69526201176533697</v>
      </c>
      <c r="F3" s="3">
        <v>0.535772784131195</v>
      </c>
      <c r="G3" s="3">
        <v>0.65010177888759402</v>
      </c>
      <c r="H3" s="3">
        <v>0.63224916565387601</v>
      </c>
      <c r="I3" s="3">
        <v>0.95695023727963502</v>
      </c>
      <c r="J3" s="3">
        <v>0.98889765285147402</v>
      </c>
    </row>
    <row r="4" spans="1:10" ht="29" x14ac:dyDescent="0.35">
      <c r="A4" s="5" t="s">
        <v>12</v>
      </c>
      <c r="B4" s="3">
        <v>0.77243994943109895</v>
      </c>
      <c r="C4" s="3">
        <v>0.88352437794149297</v>
      </c>
      <c r="D4" s="3">
        <v>0.77243994943109895</v>
      </c>
      <c r="E4" s="3">
        <v>0.80386360312021699</v>
      </c>
      <c r="F4" s="3">
        <v>0.72232173292027202</v>
      </c>
      <c r="G4" s="3">
        <v>0.74626322936703005</v>
      </c>
      <c r="H4" s="3">
        <v>0.72180104417419499</v>
      </c>
      <c r="I4" s="3">
        <v>0.96627069679199695</v>
      </c>
      <c r="J4" s="3">
        <v>1</v>
      </c>
    </row>
    <row r="5" spans="1:10" ht="29" x14ac:dyDescent="0.35">
      <c r="A5" s="5" t="s">
        <v>13</v>
      </c>
      <c r="B5" s="3">
        <v>0.96713021491782503</v>
      </c>
      <c r="C5" s="3">
        <v>0.967793774004991</v>
      </c>
      <c r="D5" s="3">
        <v>0.96713021491782503</v>
      </c>
      <c r="E5" s="3">
        <v>0.96740748508711505</v>
      </c>
      <c r="F5" s="3">
        <v>0.94104471452796501</v>
      </c>
      <c r="G5" s="3">
        <v>0.95689815231824005</v>
      </c>
      <c r="H5" s="3">
        <v>0.95686941494995004</v>
      </c>
      <c r="I5" s="3">
        <v>0.99434312617768705</v>
      </c>
      <c r="J5" s="3">
        <v>1</v>
      </c>
    </row>
    <row r="6" spans="1:10" ht="29" x14ac:dyDescent="0.35">
      <c r="A6" s="5" t="s">
        <v>14</v>
      </c>
      <c r="B6" s="3">
        <v>0.77117572692793901</v>
      </c>
      <c r="C6" s="3">
        <v>0.88271177546476698</v>
      </c>
      <c r="D6" s="3">
        <v>0.77117572692793901</v>
      </c>
      <c r="E6" s="3">
        <v>0.80199995873428098</v>
      </c>
      <c r="F6" s="3">
        <v>0.71811559922374402</v>
      </c>
      <c r="G6" s="3">
        <v>0.74539811894998498</v>
      </c>
      <c r="H6" s="3">
        <v>0.72041883180918997</v>
      </c>
      <c r="I6" s="3">
        <v>0.966103360781287</v>
      </c>
      <c r="J6" s="3">
        <v>1</v>
      </c>
    </row>
    <row r="7" spans="1:10" x14ac:dyDescent="0.35">
      <c r="A7" s="5" t="s">
        <v>15</v>
      </c>
      <c r="B7" s="3">
        <v>0.77243994943109895</v>
      </c>
      <c r="C7" s="3">
        <v>0.88713876177418405</v>
      </c>
      <c r="D7" s="3">
        <v>0.77243994943109895</v>
      </c>
      <c r="E7" s="3">
        <v>0.80373728071714501</v>
      </c>
      <c r="F7" s="3">
        <v>0.72177812282599496</v>
      </c>
      <c r="G7" s="3">
        <v>0.74841410142225495</v>
      </c>
      <c r="H7" s="3">
        <v>0.72241285190672999</v>
      </c>
      <c r="I7" s="3">
        <v>0.96648782831518198</v>
      </c>
      <c r="J7" s="3">
        <v>1</v>
      </c>
    </row>
    <row r="8" spans="1:10" ht="29" x14ac:dyDescent="0.35">
      <c r="A8" s="5" t="s">
        <v>16</v>
      </c>
      <c r="B8" s="3">
        <v>0.81415929203539805</v>
      </c>
      <c r="C8" s="3">
        <v>0.89866670272472504</v>
      </c>
      <c r="D8" s="3">
        <v>0.81415929203539805</v>
      </c>
      <c r="E8" s="3">
        <v>0.83956899849150501</v>
      </c>
      <c r="F8" s="3">
        <v>0.76316489991008396</v>
      </c>
      <c r="G8" s="3">
        <v>0.78579954795117002</v>
      </c>
      <c r="H8" s="3">
        <v>0.76937311822411902</v>
      </c>
      <c r="I8" s="3">
        <v>0.97226260286798405</v>
      </c>
      <c r="J8" s="3">
        <v>1</v>
      </c>
    </row>
    <row r="9" spans="1:10" x14ac:dyDescent="0.35">
      <c r="A9" s="5" t="s">
        <v>17</v>
      </c>
      <c r="B9" s="3">
        <v>5.56257901390644E-2</v>
      </c>
      <c r="C9" s="3">
        <v>3.0942285285952401E-3</v>
      </c>
      <c r="D9" s="3">
        <v>5.56257901390644E-2</v>
      </c>
      <c r="E9" s="3">
        <v>5.8623587212427199E-3</v>
      </c>
      <c r="F9" s="3">
        <v>3.0942285285952401E-3</v>
      </c>
      <c r="G9" s="3">
        <v>0</v>
      </c>
      <c r="H9" s="3">
        <v>0</v>
      </c>
      <c r="I9" s="3">
        <v>0.875</v>
      </c>
      <c r="J9" s="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429E6-F51D-4BBC-B30D-2046F01FB659}">
  <dimension ref="A1:U33"/>
  <sheetViews>
    <sheetView tabSelected="1" topLeftCell="A7" workbookViewId="0">
      <selection activeCell="S14" sqref="L14:S23"/>
    </sheetView>
  </sheetViews>
  <sheetFormatPr defaultRowHeight="14.5" x14ac:dyDescent="0.35"/>
  <cols>
    <col min="1" max="1" width="18" bestFit="1" customWidth="1"/>
    <col min="2" max="5" width="11.36328125" bestFit="1" customWidth="1"/>
    <col min="6" max="6" width="12" bestFit="1" customWidth="1"/>
    <col min="7" max="7" width="17.453125" bestFit="1" customWidth="1"/>
    <col min="8" max="8" width="13.36328125" bestFit="1" customWidth="1"/>
    <col min="9" max="9" width="11.36328125" style="8" bestFit="1" customWidth="1"/>
    <col min="10" max="10" width="12.36328125" style="8" bestFit="1" customWidth="1"/>
  </cols>
  <sheetData>
    <row r="1" spans="1:21" ht="43.5" x14ac:dyDescent="0.35">
      <c r="A1" s="2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4" t="s">
        <v>5</v>
      </c>
      <c r="G1" s="4" t="s">
        <v>6</v>
      </c>
      <c r="H1" s="4" t="s">
        <v>7</v>
      </c>
      <c r="I1" s="6" t="s">
        <v>8</v>
      </c>
      <c r="J1" s="6" t="s">
        <v>9</v>
      </c>
      <c r="L1" s="2" t="s">
        <v>0</v>
      </c>
      <c r="M1" s="6" t="s">
        <v>1</v>
      </c>
      <c r="N1" s="6" t="s">
        <v>2</v>
      </c>
      <c r="O1" s="6" t="s">
        <v>3</v>
      </c>
      <c r="P1" s="6" t="s">
        <v>4</v>
      </c>
      <c r="Q1" s="4" t="s">
        <v>5</v>
      </c>
      <c r="R1" s="4" t="s">
        <v>6</v>
      </c>
      <c r="S1" s="4" t="s">
        <v>7</v>
      </c>
      <c r="T1" s="6" t="s">
        <v>8</v>
      </c>
      <c r="U1" s="6" t="s">
        <v>9</v>
      </c>
    </row>
    <row r="2" spans="1:21" ht="29" x14ac:dyDescent="0.35">
      <c r="A2" s="5" t="s">
        <v>10</v>
      </c>
      <c r="B2" s="7">
        <f>AVERAGE('fold 1'!B2,'fold 2'!B2,'fold 3'!B2,'fold 4'!B2,'fold 5'!B2)</f>
        <v>0.92617860935524621</v>
      </c>
      <c r="C2" s="7">
        <f>AVERAGE('fold 1'!C2,'fold 2'!C2,'fold 3'!C2,'fold 4'!C2,'fold 5'!C2)</f>
        <v>0.94959583027530348</v>
      </c>
      <c r="D2" s="7">
        <f>AVERAGE('fold 1'!D2,'fold 2'!D2,'fold 3'!D2,'fold 4'!D2,'fold 5'!D2)</f>
        <v>0.92617860935524621</v>
      </c>
      <c r="E2" s="7">
        <f>AVERAGE('fold 1'!E2,'fold 2'!E2,'fold 3'!E2,'fold 4'!E2,'fold 5'!E2)</f>
        <v>0.93281759702858902</v>
      </c>
      <c r="F2" s="3">
        <f>AVERAGE('fold 1'!F2,'fold 2'!F2,'fold 3'!F2,'fold 4'!F2,'fold 5'!F2)</f>
        <v>0.8867460906908029</v>
      </c>
      <c r="G2" s="3">
        <f>AVERAGE('fold 1'!G2,'fold 2'!G2,'fold 3'!G2,'fold 4'!G2,'fold 5'!G2)</f>
        <v>0.9087752434224452</v>
      </c>
      <c r="H2" s="3">
        <f>AVERAGE('fold 1'!H2,'fold 2'!H2,'fold 3'!H2,'fold 4'!H2,'fold 5'!H2)</f>
        <v>0.9052759467085234</v>
      </c>
      <c r="I2" s="7">
        <f>AVERAGE('fold 1'!I2,'fold 2'!I2,'fold 3'!I2,'fold 4'!I2,'fold 5'!I2)</f>
        <v>0.98902482022597105</v>
      </c>
      <c r="J2" s="7">
        <f>AVERAGE('fold 1'!J2,'fold 2'!J2,'fold 3'!J2,'fold 4'!J2,'fold 5'!J2)</f>
        <v>1</v>
      </c>
      <c r="L2" s="5" t="s">
        <v>10</v>
      </c>
      <c r="M2" s="7">
        <f>_xlfn.STDEV.P('fold 1'!B2,'fold 2'!B2,'fold 3'!B2,'fold 4'!B2,'fold 5'!B2)</f>
        <v>1.2653170735255665E-2</v>
      </c>
      <c r="N2" s="7">
        <f>_xlfn.STDEV.P('fold 1'!C2,'fold 2'!C2,'fold 3'!C2,'fold 4'!C2,'fold 5'!C2)</f>
        <v>7.3682203391895159E-3</v>
      </c>
      <c r="O2" s="7">
        <f>_xlfn.STDEV.P('fold 1'!D2,'fold 2'!D2,'fold 3'!D2,'fold 4'!D2,'fold 5'!D2)</f>
        <v>1.2653170735255665E-2</v>
      </c>
      <c r="P2" s="7">
        <f>_xlfn.STDEV.P('fold 1'!E2,'fold 2'!E2,'fold 3'!E2,'fold 4'!E2,'fold 5'!E2)</f>
        <v>1.0650174158574012E-2</v>
      </c>
      <c r="Q2" s="7">
        <f>_xlfn.STDEV.P('fold 1'!F2,'fold 2'!F2,'fold 3'!F2,'fold 4'!F2,'fold 5'!F2)</f>
        <v>1.5894665927985399E-2</v>
      </c>
      <c r="R2" s="7">
        <f>_xlfn.STDEV.P('fold 1'!G2,'fold 2'!G2,'fold 3'!G2,'fold 4'!G2,'fold 5'!G2)</f>
        <v>1.4440198370089707E-2</v>
      </c>
      <c r="S2" s="7">
        <f>_xlfn.STDEV.P('fold 1'!H2,'fold 2'!H2,'fold 3'!H2,'fold 4'!H2,'fold 5'!H2)</f>
        <v>1.5724955338801652E-2</v>
      </c>
      <c r="T2" s="7">
        <f>_xlfn.STDEV.P('fold 1'!I2,'fold 2'!I2,'fold 3'!I2,'fold 4'!I2,'fold 5'!I2)</f>
        <v>1.8044764997975631E-3</v>
      </c>
      <c r="U2" s="7">
        <f>_xlfn.STDEV.P('fold 1'!J2,'fold 2'!J2,'fold 3'!J2,'fold 4'!J2,'fold 5'!J2)</f>
        <v>0</v>
      </c>
    </row>
    <row r="3" spans="1:21" ht="58" x14ac:dyDescent="0.35">
      <c r="A3" s="5" t="s">
        <v>11</v>
      </c>
      <c r="B3" s="7">
        <f>AVERAGE('fold 1'!B3,'fold 2'!B3,'fold 3'!B3,'fold 4'!B3,'fold 5'!B3)</f>
        <v>0.69430781289506938</v>
      </c>
      <c r="C3" s="7">
        <f>AVERAGE('fold 1'!C3,'fold 2'!C3,'fold 3'!C3,'fold 4'!C3,'fold 5'!C3)</f>
        <v>0.75834634071089835</v>
      </c>
      <c r="D3" s="7">
        <f>AVERAGE('fold 1'!D3,'fold 2'!D3,'fold 3'!D3,'fold 4'!D3,'fold 5'!D3)</f>
        <v>0.69430781289506938</v>
      </c>
      <c r="E3" s="7">
        <f>AVERAGE('fold 1'!E3,'fold 2'!E3,'fold 3'!E3,'fold 4'!E3,'fold 5'!E3)</f>
        <v>0.69268069312375746</v>
      </c>
      <c r="F3" s="3">
        <f>AVERAGE('fold 1'!F3,'fold 2'!F3,'fold 3'!F3,'fold 4'!F3,'fold 5'!F3)</f>
        <v>0.53311093313866298</v>
      </c>
      <c r="G3" s="3">
        <f>AVERAGE('fold 1'!G3,'fold 2'!G3,'fold 3'!G3,'fold 4'!G3,'fold 5'!G3)</f>
        <v>0.64848996170445139</v>
      </c>
      <c r="H3" s="3">
        <f>AVERAGE('fold 1'!H3,'fold 2'!H3,'fold 3'!H3,'fold 4'!H3,'fold 5'!H3)</f>
        <v>0.63082106137804339</v>
      </c>
      <c r="I3" s="7">
        <f>AVERAGE('fold 1'!I3,'fold 2'!I3,'fold 3'!I3,'fold 4'!I3,'fold 5'!I3)</f>
        <v>0.95651174262880778</v>
      </c>
      <c r="J3" s="7">
        <f>AVERAGE('fold 1'!J3,'fold 2'!J3,'fold 3'!J3,'fold 4'!J3,'fold 5'!J3)</f>
        <v>0.98874781427237635</v>
      </c>
      <c r="L3" s="5" t="s">
        <v>11</v>
      </c>
      <c r="M3" s="7">
        <f>_xlfn.STDEV.P('fold 1'!B3,'fold 2'!B3,'fold 3'!B3,'fold 4'!B3,'fold 5'!B3)</f>
        <v>8.519343351110235E-3</v>
      </c>
      <c r="N3" s="7">
        <f>_xlfn.STDEV.P('fold 1'!C3,'fold 2'!C3,'fold 3'!C3,'fold 4'!C3,'fold 5'!C3)</f>
        <v>8.8236347806248082E-3</v>
      </c>
      <c r="O3" s="7">
        <f>_xlfn.STDEV.P('fold 1'!D3,'fold 2'!D3,'fold 3'!D3,'fold 4'!D3,'fold 5'!D3)</f>
        <v>8.519343351110235E-3</v>
      </c>
      <c r="P3" s="7">
        <f>_xlfn.STDEV.P('fold 1'!E3,'fold 2'!E3,'fold 3'!E3,'fold 4'!E3,'fold 5'!E3)</f>
        <v>1.0331310444076067E-2</v>
      </c>
      <c r="Q3" s="7">
        <f>_xlfn.STDEV.P('fold 1'!F3,'fold 2'!F3,'fold 3'!F3,'fold 4'!F3,'fold 5'!F3)</f>
        <v>1.1857461248672657E-2</v>
      </c>
      <c r="R3" s="7">
        <f>_xlfn.STDEV.P('fold 1'!G3,'fold 2'!G3,'fold 3'!G3,'fold 4'!G3,'fold 5'!G3)</f>
        <v>8.4688539893440079E-3</v>
      </c>
      <c r="S3" s="7">
        <f>_xlfn.STDEV.P('fold 1'!H3,'fold 2'!H3,'fold 3'!H3,'fold 4'!H3,'fold 5'!H3)</f>
        <v>9.249189444582858E-3</v>
      </c>
      <c r="T3" s="7">
        <f>_xlfn.STDEV.P('fold 1'!I3,'fold 2'!I3,'fold 3'!I3,'fold 4'!I3,'fold 5'!I3)</f>
        <v>1.3998113218445486E-3</v>
      </c>
      <c r="U3" s="7">
        <f>_xlfn.STDEV.P('fold 1'!J3,'fold 2'!J3,'fold 3'!J3,'fold 4'!J3,'fold 5'!J3)</f>
        <v>4.6646651381780473E-3</v>
      </c>
    </row>
    <row r="4" spans="1:21" ht="29" x14ac:dyDescent="0.35">
      <c r="A4" s="5" t="s">
        <v>12</v>
      </c>
      <c r="B4" s="7">
        <f>AVERAGE('fold 1'!B4,'fold 2'!B4,'fold 3'!B4,'fold 4'!B4,'fold 5'!B4)</f>
        <v>0.75422533501896261</v>
      </c>
      <c r="C4" s="7">
        <f>AVERAGE('fold 1'!C4,'fold 2'!C4,'fold 3'!C4,'fold 4'!C4,'fold 5'!C4)</f>
        <v>0.8766992668308754</v>
      </c>
      <c r="D4" s="7">
        <f>AVERAGE('fold 1'!D4,'fold 2'!D4,'fold 3'!D4,'fold 4'!D4,'fold 5'!D4)</f>
        <v>0.75422533501896261</v>
      </c>
      <c r="E4" s="7">
        <f>AVERAGE('fold 1'!E4,'fold 2'!E4,'fold 3'!E4,'fold 4'!E4,'fold 5'!E4)</f>
        <v>0.78739718830947647</v>
      </c>
      <c r="F4" s="3">
        <f>AVERAGE('fold 1'!F4,'fold 2'!F4,'fold 3'!F4,'fold 4'!F4,'fold 5'!F4)</f>
        <v>0.7049412594131258</v>
      </c>
      <c r="G4" s="3">
        <f>AVERAGE('fold 1'!G4,'fold 2'!G4,'fold 3'!G4,'fold 4'!G4,'fold 5'!G4)</f>
        <v>0.730283768196755</v>
      </c>
      <c r="H4" s="3">
        <f>AVERAGE('fold 1'!H4,'fold 2'!H4,'fold 3'!H4,'fold 4'!H4,'fold 5'!H4)</f>
        <v>0.70172229229610128</v>
      </c>
      <c r="I4" s="7">
        <f>AVERAGE('fold 1'!I4,'fold 2'!I4,'fold 3'!I4,'fold 4'!I4,'fold 5'!I4)</f>
        <v>0.96368516409599336</v>
      </c>
      <c r="J4" s="7">
        <f>AVERAGE('fold 1'!J4,'fold 2'!J4,'fold 3'!J4,'fold 4'!J4,'fold 5'!J4)</f>
        <v>1</v>
      </c>
      <c r="L4" s="5" t="s">
        <v>12</v>
      </c>
      <c r="M4" s="7">
        <f>_xlfn.STDEV.P('fold 1'!B4,'fold 2'!B4,'fold 3'!B4,'fold 4'!B4,'fold 5'!B4)</f>
        <v>1.6056017638110102E-2</v>
      </c>
      <c r="N4" s="7">
        <f>_xlfn.STDEV.P('fold 1'!C4,'fold 2'!C4,'fold 3'!C4,'fold 4'!C4,'fold 5'!C4)</f>
        <v>6.2471368211157756E-3</v>
      </c>
      <c r="O4" s="7">
        <f>_xlfn.STDEV.P('fold 1'!D4,'fold 2'!D4,'fold 3'!D4,'fold 4'!D4,'fold 5'!D4)</f>
        <v>1.6056017638110102E-2</v>
      </c>
      <c r="P4" s="7">
        <f>_xlfn.STDEV.P('fold 1'!E4,'fold 2'!E4,'fold 3'!E4,'fold 4'!E4,'fold 5'!E4)</f>
        <v>1.4558606776024646E-2</v>
      </c>
      <c r="Q4" s="7">
        <f>_xlfn.STDEV.P('fold 1'!F4,'fold 2'!F4,'fold 3'!F4,'fold 4'!F4,'fold 5'!F4)</f>
        <v>1.5315113272006029E-2</v>
      </c>
      <c r="R4" s="7">
        <f>_xlfn.STDEV.P('fold 1'!G4,'fold 2'!G4,'fold 3'!G4,'fold 4'!G4,'fold 5'!G4)</f>
        <v>1.4043934534875348E-2</v>
      </c>
      <c r="S4" s="7">
        <f>_xlfn.STDEV.P('fold 1'!H4,'fold 2'!H4,'fold 3'!H4,'fold 4'!H4,'fold 5'!H4)</f>
        <v>1.7662338754867443E-2</v>
      </c>
      <c r="T4" s="7">
        <f>_xlfn.STDEV.P('fold 1'!I4,'fold 2'!I4,'fold 3'!I4,'fold 4'!I4,'fold 5'!I4)</f>
        <v>2.2779702987883359E-3</v>
      </c>
      <c r="U4" s="7">
        <f>_xlfn.STDEV.P('fold 1'!J4,'fold 2'!J4,'fold 3'!J4,'fold 4'!J4,'fold 5'!J4)</f>
        <v>0</v>
      </c>
    </row>
    <row r="5" spans="1:21" ht="29" x14ac:dyDescent="0.35">
      <c r="A5" s="5" t="s">
        <v>13</v>
      </c>
      <c r="B5" s="7">
        <f>AVERAGE('fold 1'!B5,'fold 2'!B5,'fold 3'!B5,'fold 4'!B5,'fold 5'!B5)</f>
        <v>0.97369683944374175</v>
      </c>
      <c r="C5" s="7">
        <f>AVERAGE('fold 1'!C5,'fold 2'!C5,'fold 3'!C5,'fold 4'!C5,'fold 5'!C5)</f>
        <v>0.97442596349409416</v>
      </c>
      <c r="D5" s="7">
        <f>AVERAGE('fold 1'!D5,'fold 2'!D5,'fold 3'!D5,'fold 4'!D5,'fold 5'!D5)</f>
        <v>0.97369683944374175</v>
      </c>
      <c r="E5" s="7">
        <f>AVERAGE('fold 1'!E5,'fold 2'!E5,'fold 3'!E5,'fold 4'!E5,'fold 5'!E5)</f>
        <v>0.97394829177407938</v>
      </c>
      <c r="F5" s="3">
        <f>AVERAGE('fold 1'!F5,'fold 2'!F5,'fold 3'!F5,'fold 4'!F5,'fold 5'!F5)</f>
        <v>0.95211480665682457</v>
      </c>
      <c r="G5" s="3">
        <f>AVERAGE('fold 1'!G5,'fold 2'!G5,'fold 3'!G5,'fold 4'!G5,'fold 5'!G5)</f>
        <v>0.96557126395362936</v>
      </c>
      <c r="H5" s="3">
        <f>AVERAGE('fold 1'!H5,'fold 2'!H5,'fold 3'!H5,'fold 4'!H5,'fold 5'!H5)</f>
        <v>0.96550995194264444</v>
      </c>
      <c r="I5" s="7">
        <f>AVERAGE('fold 1'!I5,'fold 2'!I5,'fold 3'!I5,'fold 4'!I5,'fold 5'!I5)</f>
        <v>0.99556260586025191</v>
      </c>
      <c r="J5" s="7">
        <f>AVERAGE('fold 1'!J5,'fold 2'!J5,'fold 3'!J5,'fold 4'!J5,'fold 5'!J5)</f>
        <v>1</v>
      </c>
      <c r="L5" s="5" t="s">
        <v>13</v>
      </c>
      <c r="M5" s="7">
        <f>_xlfn.STDEV.P('fold 1'!B5,'fold 2'!B5,'fold 3'!B5,'fold 4'!B5,'fold 5'!B5)</f>
        <v>5.9422296672388781E-3</v>
      </c>
      <c r="N5" s="7">
        <f>_xlfn.STDEV.P('fold 1'!C5,'fold 2'!C5,'fold 3'!C5,'fold 4'!C5,'fold 5'!C5)</f>
        <v>6.1641664518434537E-3</v>
      </c>
      <c r="O5" s="7">
        <f>_xlfn.STDEV.P('fold 1'!D5,'fold 2'!D5,'fold 3'!D5,'fold 4'!D5,'fold 5'!D5)</f>
        <v>5.9422296672388781E-3</v>
      </c>
      <c r="P5" s="7">
        <f>_xlfn.STDEV.P('fold 1'!E5,'fold 2'!E5,'fold 3'!E5,'fold 4'!E5,'fold 5'!E5)</f>
        <v>5.9701565972892388E-3</v>
      </c>
      <c r="Q5" s="7">
        <f>_xlfn.STDEV.P('fold 1'!F5,'fold 2'!F5,'fold 3'!F5,'fold 4'!F5,'fold 5'!F5)</f>
        <v>1.0209888236128844E-2</v>
      </c>
      <c r="R5" s="7">
        <f>_xlfn.STDEV.P('fold 1'!G5,'fold 2'!G5,'fold 3'!G5,'fold 4'!G5,'fold 5'!G5)</f>
        <v>7.8749361730419947E-3</v>
      </c>
      <c r="S5" s="7">
        <f>_xlfn.STDEV.P('fold 1'!H5,'fold 2'!H5,'fold 3'!H5,'fold 4'!H5,'fold 5'!H5)</f>
        <v>7.8308925360466384E-3</v>
      </c>
      <c r="T5" s="7">
        <f>_xlfn.STDEV.P('fold 1'!I5,'fold 2'!I5,'fold 3'!I5,'fold 4'!I5,'fold 5'!I5)</f>
        <v>1.1345180374223592E-3</v>
      </c>
      <c r="U5" s="7">
        <f>_xlfn.STDEV.P('fold 1'!J5,'fold 2'!J5,'fold 3'!J5,'fold 4'!J5,'fold 5'!J5)</f>
        <v>0</v>
      </c>
    </row>
    <row r="6" spans="1:21" ht="29" x14ac:dyDescent="0.35">
      <c r="A6" s="5" t="s">
        <v>14</v>
      </c>
      <c r="B6" s="7">
        <f>AVERAGE('fold 1'!B6,'fold 2'!B6,'fold 3'!B6,'fold 4'!B6,'fold 5'!B6)</f>
        <v>0.75347249051833087</v>
      </c>
      <c r="C6" s="7">
        <f>AVERAGE('fold 1'!C6,'fold 2'!C6,'fold 3'!C6,'fold 4'!C6,'fold 5'!C6)</f>
        <v>0.87768048426479783</v>
      </c>
      <c r="D6" s="7">
        <f>AVERAGE('fold 1'!D6,'fold 2'!D6,'fold 3'!D6,'fold 4'!D6,'fold 5'!D6)</f>
        <v>0.75347249051833087</v>
      </c>
      <c r="E6" s="7">
        <f>AVERAGE('fold 1'!E6,'fold 2'!E6,'fold 3'!E6,'fold 4'!E6,'fold 5'!E6)</f>
        <v>0.78602183891937527</v>
      </c>
      <c r="F6" s="3">
        <f>AVERAGE('fold 1'!F6,'fold 2'!F6,'fold 3'!F6,'fold 4'!F6,'fold 5'!F6)</f>
        <v>0.70219630350644757</v>
      </c>
      <c r="G6" s="3">
        <f>AVERAGE('fold 1'!G6,'fold 2'!G6,'fold 3'!G6,'fold 4'!G6,'fold 5'!G6)</f>
        <v>0.73082649791669474</v>
      </c>
      <c r="H6" s="3">
        <f>AVERAGE('fold 1'!H6,'fold 2'!H6,'fold 3'!H6,'fold 4'!H6,'fold 5'!H6)</f>
        <v>0.70122504696591847</v>
      </c>
      <c r="I6" s="7">
        <f>AVERAGE('fold 1'!I6,'fold 2'!I6,'fold 3'!I6,'fold 4'!I6,'fold 5'!I6)</f>
        <v>0.96369830774441567</v>
      </c>
      <c r="J6" s="7">
        <f>AVERAGE('fold 1'!J6,'fold 2'!J6,'fold 3'!J6,'fold 4'!J6,'fold 5'!J6)</f>
        <v>1</v>
      </c>
      <c r="L6" s="5" t="s">
        <v>14</v>
      </c>
      <c r="M6" s="7">
        <f>_xlfn.STDEV.P('fold 1'!B6,'fold 2'!B6,'fold 3'!B6,'fold 4'!B6,'fold 5'!B6)</f>
        <v>1.6156219634684645E-2</v>
      </c>
      <c r="N6" s="7">
        <f>_xlfn.STDEV.P('fold 1'!C6,'fold 2'!C6,'fold 3'!C6,'fold 4'!C6,'fold 5'!C6)</f>
        <v>5.4563892876967101E-3</v>
      </c>
      <c r="O6" s="7">
        <f>_xlfn.STDEV.P('fold 1'!D6,'fold 2'!D6,'fold 3'!D6,'fold 4'!D6,'fold 5'!D6)</f>
        <v>1.6156219634684645E-2</v>
      </c>
      <c r="P6" s="7">
        <f>_xlfn.STDEV.P('fold 1'!E6,'fold 2'!E6,'fold 3'!E6,'fold 4'!E6,'fold 5'!E6)</f>
        <v>1.4552433852984485E-2</v>
      </c>
      <c r="Q6" s="7">
        <f>_xlfn.STDEV.P('fold 1'!F6,'fold 2'!F6,'fold 3'!F6,'fold 4'!F6,'fold 5'!F6)</f>
        <v>1.4454591453405786E-2</v>
      </c>
      <c r="R6" s="7">
        <f>_xlfn.STDEV.P('fold 1'!G6,'fold 2'!G6,'fold 3'!G6,'fold 4'!G6,'fold 5'!G6)</f>
        <v>1.3693949359396697E-2</v>
      </c>
      <c r="S6" s="7">
        <f>_xlfn.STDEV.P('fold 1'!H6,'fold 2'!H6,'fold 3'!H6,'fold 4'!H6,'fold 5'!H6)</f>
        <v>1.7626678831309837E-2</v>
      </c>
      <c r="T6" s="7">
        <f>_xlfn.STDEV.P('fold 1'!I6,'fold 2'!I6,'fold 3'!I6,'fold 4'!I6,'fold 5'!I6)</f>
        <v>2.2400071444537667E-3</v>
      </c>
      <c r="U6" s="7">
        <f>_xlfn.STDEV.P('fold 1'!J6,'fold 2'!J6,'fold 3'!J6,'fold 4'!J6,'fold 5'!J6)</f>
        <v>0</v>
      </c>
    </row>
    <row r="7" spans="1:21" x14ac:dyDescent="0.35">
      <c r="A7" s="5" t="s">
        <v>15</v>
      </c>
      <c r="B7" s="7">
        <f>AVERAGE('fold 1'!B7,'fold 2'!B7,'fold 3'!B7,'fold 4'!B7,'fold 5'!B7)</f>
        <v>0.75803378002528388</v>
      </c>
      <c r="C7" s="7">
        <f>AVERAGE('fold 1'!C7,'fold 2'!C7,'fold 3'!C7,'fold 4'!C7,'fold 5'!C7)</f>
        <v>0.88570870712661054</v>
      </c>
      <c r="D7" s="7">
        <f>AVERAGE('fold 1'!D7,'fold 2'!D7,'fold 3'!D7,'fold 4'!D7,'fold 5'!D7)</f>
        <v>0.75803378002528388</v>
      </c>
      <c r="E7" s="7">
        <f>AVERAGE('fold 1'!E7,'fold 2'!E7,'fold 3'!E7,'fold 4'!E7,'fold 5'!E7)</f>
        <v>0.7902863811230868</v>
      </c>
      <c r="F7" s="3">
        <f>AVERAGE('fold 1'!F7,'fold 2'!F7,'fold 3'!F7,'fold 4'!F7,'fold 5'!F7)</f>
        <v>0.70722121642508662</v>
      </c>
      <c r="G7" s="3">
        <f>AVERAGE('fold 1'!G7,'fold 2'!G7,'fold 3'!G7,'fold 4'!G7,'fold 5'!G7)</f>
        <v>0.73820264175586658</v>
      </c>
      <c r="H7" s="3">
        <f>AVERAGE('fold 1'!H7,'fold 2'!H7,'fold 3'!H7,'fold 4'!H7,'fold 5'!H7)</f>
        <v>0.70716863772345218</v>
      </c>
      <c r="I7" s="7">
        <f>AVERAGE('fold 1'!I7,'fold 2'!I7,'fold 3'!I7,'fold 4'!I7,'fold 5'!I7)</f>
        <v>0.96465255482185941</v>
      </c>
      <c r="J7" s="7">
        <f>AVERAGE('fold 1'!J7,'fold 2'!J7,'fold 3'!J7,'fold 4'!J7,'fold 5'!J7)</f>
        <v>1</v>
      </c>
      <c r="L7" s="5" t="s">
        <v>15</v>
      </c>
      <c r="M7" s="7">
        <f>_xlfn.STDEV.P('fold 1'!B7,'fold 2'!B7,'fold 3'!B7,'fold 4'!B7,'fold 5'!B7)</f>
        <v>1.3738921119054478E-2</v>
      </c>
      <c r="N7" s="7">
        <f>_xlfn.STDEV.P('fold 1'!C7,'fold 2'!C7,'fold 3'!C7,'fold 4'!C7,'fold 5'!C7)</f>
        <v>4.2148129314304493E-3</v>
      </c>
      <c r="O7" s="7">
        <f>_xlfn.STDEV.P('fold 1'!D7,'fold 2'!D7,'fold 3'!D7,'fold 4'!D7,'fold 5'!D7)</f>
        <v>1.3738921119054478E-2</v>
      </c>
      <c r="P7" s="7">
        <f>_xlfn.STDEV.P('fold 1'!E7,'fold 2'!E7,'fold 3'!E7,'fold 4'!E7,'fold 5'!E7)</f>
        <v>1.2788692506347187E-2</v>
      </c>
      <c r="Q7" s="7">
        <f>_xlfn.STDEV.P('fold 1'!F7,'fold 2'!F7,'fold 3'!F7,'fold 4'!F7,'fold 5'!F7)</f>
        <v>1.363598512399573E-2</v>
      </c>
      <c r="R7" s="7">
        <f>_xlfn.STDEV.P('fold 1'!G7,'fold 2'!G7,'fold 3'!G7,'fold 4'!G7,'fold 5'!G7)</f>
        <v>1.0748620567730916E-2</v>
      </c>
      <c r="S7" s="7">
        <f>_xlfn.STDEV.P('fold 1'!H7,'fold 2'!H7,'fold 3'!H7,'fold 4'!H7,'fold 5'!H7)</f>
        <v>1.4778910923205097E-2</v>
      </c>
      <c r="T7" s="7">
        <f>_xlfn.STDEV.P('fold 1'!I7,'fold 2'!I7,'fold 3'!I7,'fold 4'!I7,'fold 5'!I7)</f>
        <v>1.8465153897379071E-3</v>
      </c>
      <c r="U7" s="7">
        <f>_xlfn.STDEV.P('fold 1'!J7,'fold 2'!J7,'fold 3'!J7,'fold 4'!J7,'fold 5'!J7)</f>
        <v>0</v>
      </c>
    </row>
    <row r="8" spans="1:21" ht="29" x14ac:dyDescent="0.35">
      <c r="A8" s="5" t="s">
        <v>16</v>
      </c>
      <c r="B8" s="7">
        <f>AVERAGE('fold 1'!B8,'fold 2'!B8,'fold 3'!B8,'fold 4'!B8,'fold 5'!B8)</f>
        <v>0.7964664981036661</v>
      </c>
      <c r="C8" s="7">
        <f>AVERAGE('fold 1'!C8,'fold 2'!C8,'fold 3'!C8,'fold 4'!C8,'fold 5'!C8)</f>
        <v>0.89529653120588581</v>
      </c>
      <c r="D8" s="7">
        <f>AVERAGE('fold 1'!D8,'fold 2'!D8,'fold 3'!D8,'fold 4'!D8,'fold 5'!D8)</f>
        <v>0.7964664981036661</v>
      </c>
      <c r="E8" s="7">
        <f>AVERAGE('fold 1'!E8,'fold 2'!E8,'fold 3'!E8,'fold 4'!E8,'fold 5'!E8)</f>
        <v>0.82445311060452953</v>
      </c>
      <c r="F8" s="3">
        <f>AVERAGE('fold 1'!F8,'fold 2'!F8,'fold 3'!F8,'fold 4'!F8,'fold 5'!F8)</f>
        <v>0.74537670686745938</v>
      </c>
      <c r="G8" s="3">
        <f>AVERAGE('fold 1'!G8,'fold 2'!G8,'fold 3'!G8,'fold 4'!G8,'fold 5'!G8)</f>
        <v>0.77068313251662812</v>
      </c>
      <c r="H8" s="3">
        <f>AVERAGE('fold 1'!H8,'fold 2'!H8,'fold 3'!H8,'fold 4'!H8,'fold 5'!H8)</f>
        <v>0.74965368935697119</v>
      </c>
      <c r="I8" s="7">
        <f>AVERAGE('fold 1'!I8,'fold 2'!I8,'fold 3'!I8,'fold 4'!I8,'fold 5'!I8)</f>
        <v>0.96989422288473848</v>
      </c>
      <c r="J8" s="7">
        <f>AVERAGE('fold 1'!J8,'fold 2'!J8,'fold 3'!J8,'fold 4'!J8,'fold 5'!J8)</f>
        <v>1</v>
      </c>
      <c r="L8" s="5" t="s">
        <v>16</v>
      </c>
      <c r="M8" s="7">
        <f>_xlfn.STDEV.P('fold 1'!B8,'fold 2'!B8,'fold 3'!B8,'fold 4'!B8,'fold 5'!B8)</f>
        <v>1.6820816529498375E-2</v>
      </c>
      <c r="N8" s="7">
        <f>_xlfn.STDEV.P('fold 1'!C8,'fold 2'!C8,'fold 3'!C8,'fold 4'!C8,'fold 5'!C8)</f>
        <v>4.2937856411378221E-3</v>
      </c>
      <c r="O8" s="7">
        <f>_xlfn.STDEV.P('fold 1'!D8,'fold 2'!D8,'fold 3'!D8,'fold 4'!D8,'fold 5'!D8)</f>
        <v>1.6820816529498375E-2</v>
      </c>
      <c r="P8" s="7">
        <f>_xlfn.STDEV.P('fold 1'!E8,'fold 2'!E8,'fold 3'!E8,'fold 4'!E8,'fold 5'!E8)</f>
        <v>1.4446094368789403E-2</v>
      </c>
      <c r="Q8" s="7">
        <f>_xlfn.STDEV.P('fold 1'!F8,'fold 2'!F8,'fold 3'!F8,'fold 4'!F8,'fold 5'!F8)</f>
        <v>1.6803650123146122E-2</v>
      </c>
      <c r="R8" s="7">
        <f>_xlfn.STDEV.P('fold 1'!G8,'fold 2'!G8,'fold 3'!G8,'fold 4'!G8,'fold 5'!G8)</f>
        <v>1.4773256499431221E-2</v>
      </c>
      <c r="S8" s="7">
        <f>_xlfn.STDEV.P('fold 1'!H8,'fold 2'!H8,'fold 3'!H8,'fold 4'!H8,'fold 5'!H8)</f>
        <v>1.8845875531932465E-2</v>
      </c>
      <c r="T8" s="7">
        <f>_xlfn.STDEV.P('fold 1'!I8,'fold 2'!I8,'fold 3'!I8,'fold 4'!I8,'fold 5'!I8)</f>
        <v>2.3073603328739858E-3</v>
      </c>
      <c r="U8" s="7">
        <f>_xlfn.STDEV.P('fold 1'!J8,'fold 2'!J8,'fold 3'!J8,'fold 4'!J8,'fold 5'!J8)</f>
        <v>0</v>
      </c>
    </row>
    <row r="9" spans="1:21" x14ac:dyDescent="0.35">
      <c r="A9" s="5" t="s">
        <v>17</v>
      </c>
      <c r="B9" s="7">
        <f>AVERAGE('fold 1'!B9,'fold 2'!B9,'fold 3'!B9,'fold 4'!B9,'fold 5'!B9)</f>
        <v>5.6133476611883636E-2</v>
      </c>
      <c r="C9" s="7">
        <f>AVERAGE('fold 1'!C9,'fold 2'!C9,'fold 3'!C9,'fold 4'!C9,'fold 5'!C9)</f>
        <v>3.143831824843648E-3</v>
      </c>
      <c r="D9" s="7">
        <f>AVERAGE('fold 1'!D9,'fold 2'!D9,'fold 3'!D9,'fold 4'!D9,'fold 5'!D9)</f>
        <v>5.6133476611883636E-2</v>
      </c>
      <c r="E9" s="7">
        <f>AVERAGE('fold 1'!E9,'fold 2'!E9,'fold 3'!E9,'fold 4'!E9,'fold 5'!E9)</f>
        <v>5.9623198111667438E-3</v>
      </c>
      <c r="F9" s="3">
        <f>AVERAGE('fold 1'!F9,'fold 2'!F9,'fold 3'!F9,'fold 4'!F9,'fold 5'!F9)</f>
        <v>3.143831824843648E-3</v>
      </c>
      <c r="G9" s="3">
        <f>AVERAGE('fold 1'!G9,'fold 2'!G9,'fold 3'!G9,'fold 4'!G9,'fold 5'!G9)</f>
        <v>0</v>
      </c>
      <c r="H9" s="3">
        <f>AVERAGE('fold 1'!H9,'fold 2'!H9,'fold 3'!H9,'fold 4'!H9,'fold 5'!H9)</f>
        <v>0</v>
      </c>
      <c r="I9" s="7">
        <f>AVERAGE('fold 1'!I9,'fold 2'!I9,'fold 3'!I9,'fold 4'!I9,'fold 5'!I9)</f>
        <v>0.875</v>
      </c>
      <c r="J9" s="7">
        <f>AVERAGE('fold 1'!J9,'fold 2'!J9,'fold 3'!J9,'fold 4'!J9,'fold 5'!J9)</f>
        <v>1</v>
      </c>
      <c r="L9" s="5" t="s">
        <v>17</v>
      </c>
      <c r="M9" s="7">
        <f>_xlfn.STDEV.P('fold 1'!B9,'fold 2'!B9,'fold 3'!B9,'fold 4'!B9,'fold 5'!B9)</f>
        <v>6.2179442483588842E-4</v>
      </c>
      <c r="N9" s="7">
        <f>_xlfn.STDEV.P('fold 1'!C9,'fold 2'!C9,'fold 3'!C9,'fold 4'!C9,'fold 5'!C9)</f>
        <v>6.183657816082516E-5</v>
      </c>
      <c r="O9" s="7">
        <f>_xlfn.STDEV.P('fold 1'!D9,'fold 2'!D9,'fold 3'!D9,'fold 4'!D9,'fold 5'!D9)</f>
        <v>6.2179442483588842E-4</v>
      </c>
      <c r="P9" s="7">
        <f>_xlfn.STDEV.P('fold 1'!E9,'fold 2'!E9,'fold 3'!E9,'fold 4'!E9,'fold 5'!E9)</f>
        <v>1.2267219111078249E-4</v>
      </c>
      <c r="Q9" s="7">
        <f>_xlfn.STDEV.P('fold 1'!F9,'fold 2'!F9,'fold 3'!F9,'fold 4'!F9,'fold 5'!F9)</f>
        <v>6.183657816082516E-5</v>
      </c>
      <c r="R9" s="7">
        <f>_xlfn.STDEV.P('fold 1'!G9,'fold 2'!G9,'fold 3'!G9,'fold 4'!G9,'fold 5'!G9)</f>
        <v>0</v>
      </c>
      <c r="S9" s="7">
        <f>_xlfn.STDEV.P('fold 1'!H9,'fold 2'!H9,'fold 3'!H9,'fold 4'!H9,'fold 5'!H9)</f>
        <v>0</v>
      </c>
      <c r="T9" s="7">
        <f>_xlfn.STDEV.P('fold 1'!I9,'fold 2'!I9,'fold 3'!I9,'fold 4'!I9,'fold 5'!I9)</f>
        <v>0</v>
      </c>
      <c r="U9" s="7">
        <f>_xlfn.STDEV.P('fold 1'!J9,'fold 2'!J9,'fold 3'!J9,'fold 4'!J9,'fold 5'!J9)</f>
        <v>0</v>
      </c>
    </row>
    <row r="14" spans="1:21" x14ac:dyDescent="0.35">
      <c r="A14" s="9" t="s">
        <v>20</v>
      </c>
      <c r="B14" s="10" t="s">
        <v>1</v>
      </c>
      <c r="C14" s="10" t="s">
        <v>2</v>
      </c>
      <c r="D14" s="10" t="s">
        <v>3</v>
      </c>
      <c r="E14" s="10" t="s">
        <v>4</v>
      </c>
      <c r="F14" s="11" t="s">
        <v>5</v>
      </c>
      <c r="G14" s="11" t="s">
        <v>6</v>
      </c>
      <c r="H14" s="11" t="s">
        <v>7</v>
      </c>
      <c r="I14" s="10" t="s">
        <v>8</v>
      </c>
      <c r="J14" s="10" t="s">
        <v>9</v>
      </c>
      <c r="L14" t="s">
        <v>20</v>
      </c>
      <c r="M14" t="s">
        <v>72</v>
      </c>
      <c r="N14" t="s">
        <v>18</v>
      </c>
      <c r="O14" t="s">
        <v>73</v>
      </c>
      <c r="P14" t="s">
        <v>74</v>
      </c>
      <c r="Q14" t="s">
        <v>19</v>
      </c>
      <c r="R14" t="s">
        <v>75</v>
      </c>
      <c r="S14" t="s">
        <v>76</v>
      </c>
    </row>
    <row r="15" spans="1:21" x14ac:dyDescent="0.35">
      <c r="A15" s="1" t="s">
        <v>10</v>
      </c>
      <c r="B15" s="12" t="str">
        <f>_xlfn.CONCAT(TEXT(B2*100,"0.00"),"±",TEXT(M2*100,"0.00"),"%")</f>
        <v>92.62±1.27%</v>
      </c>
      <c r="C15" s="12" t="str">
        <f t="shared" ref="C15:J15" si="0">_xlfn.CONCAT(TEXT(C2*100,"0.00"),"±",TEXT(N2*100,"0.00"),"%")</f>
        <v>94.96±0.74%</v>
      </c>
      <c r="D15" s="12" t="str">
        <f t="shared" si="0"/>
        <v>92.62±1.27%</v>
      </c>
      <c r="E15" s="12" t="str">
        <f t="shared" si="0"/>
        <v>93.28±1.07%</v>
      </c>
      <c r="F15" s="12" t="str">
        <f t="shared" si="0"/>
        <v>88.67±1.59%</v>
      </c>
      <c r="G15" s="12" t="str">
        <f t="shared" si="0"/>
        <v>90.88±1.44%</v>
      </c>
      <c r="H15" s="12" t="str">
        <f t="shared" si="0"/>
        <v>90.53±1.57%</v>
      </c>
      <c r="I15" s="12" t="str">
        <f t="shared" si="0"/>
        <v>98.90±0.18%</v>
      </c>
      <c r="J15" s="12" t="str">
        <f t="shared" si="0"/>
        <v>100.00±0.00%</v>
      </c>
      <c r="L15" t="s">
        <v>1</v>
      </c>
      <c r="M15" t="s">
        <v>21</v>
      </c>
      <c r="N15" t="s">
        <v>29</v>
      </c>
      <c r="O15" t="s">
        <v>37</v>
      </c>
      <c r="P15" t="s">
        <v>44</v>
      </c>
      <c r="Q15" t="s">
        <v>51</v>
      </c>
      <c r="R15" t="s">
        <v>58</v>
      </c>
      <c r="S15" t="s">
        <v>65</v>
      </c>
    </row>
    <row r="16" spans="1:21" x14ac:dyDescent="0.35">
      <c r="A16" s="1" t="s">
        <v>11</v>
      </c>
      <c r="B16" s="12" t="str">
        <f t="shared" ref="B16:B22" si="1">_xlfn.CONCAT(TEXT(B3*100,"0.00"),"±",TEXT(M3*100,"0.00"),"%")</f>
        <v>69.43±0.85%</v>
      </c>
      <c r="C16" s="12" t="str">
        <f t="shared" ref="C16:C22" si="2">_xlfn.CONCAT(TEXT(C3*100,"0.00"),"±",TEXT(N3*100,"0.00"),"%")</f>
        <v>75.83±0.88%</v>
      </c>
      <c r="D16" s="12" t="str">
        <f t="shared" ref="D16:D22" si="3">_xlfn.CONCAT(TEXT(D3*100,"0.00"),"±",TEXT(O3*100,"0.00"),"%")</f>
        <v>69.43±0.85%</v>
      </c>
      <c r="E16" s="12" t="str">
        <f t="shared" ref="E16:E22" si="4">_xlfn.CONCAT(TEXT(E3*100,"0.00"),"±",TEXT(P3*100,"0.00"),"%")</f>
        <v>69.27±1.03%</v>
      </c>
      <c r="F16" s="12" t="str">
        <f t="shared" ref="F16:F22" si="5">_xlfn.CONCAT(TEXT(F3*100,"0.00"),"±",TEXT(Q3*100,"0.00"),"%")</f>
        <v>53.31±1.19%</v>
      </c>
      <c r="G16" s="12" t="str">
        <f t="shared" ref="G16:G22" si="6">_xlfn.CONCAT(TEXT(G3*100,"0.00"),"±",TEXT(R3*100,"0.00"),"%")</f>
        <v>64.85±0.85%</v>
      </c>
      <c r="H16" s="12" t="str">
        <f t="shared" ref="H16:H22" si="7">_xlfn.CONCAT(TEXT(H3*100,"0.00"),"±",TEXT(S3*100,"0.00"),"%")</f>
        <v>63.08±0.92%</v>
      </c>
      <c r="I16" s="12" t="str">
        <f t="shared" ref="I16:I22" si="8">_xlfn.CONCAT(TEXT(I3*100,"0.00"),"±",TEXT(T3*100,"0.00"),"%")</f>
        <v>95.65±0.14%</v>
      </c>
      <c r="J16" s="12" t="str">
        <f t="shared" ref="J16:J22" si="9">_xlfn.CONCAT(TEXT(J3*100,"0.00"),"±",TEXT(U3*100,"0.00"),"%")</f>
        <v>98.87±0.47%</v>
      </c>
      <c r="L16" t="s">
        <v>2</v>
      </c>
      <c r="M16" t="s">
        <v>22</v>
      </c>
      <c r="N16" t="s">
        <v>30</v>
      </c>
      <c r="O16" t="s">
        <v>38</v>
      </c>
      <c r="P16" t="s">
        <v>45</v>
      </c>
      <c r="Q16" t="s">
        <v>52</v>
      </c>
      <c r="R16" t="s">
        <v>59</v>
      </c>
      <c r="S16" t="s">
        <v>66</v>
      </c>
    </row>
    <row r="17" spans="1:19" x14ac:dyDescent="0.35">
      <c r="A17" s="1" t="s">
        <v>12</v>
      </c>
      <c r="B17" s="12" t="str">
        <f t="shared" si="1"/>
        <v>75.42±1.61%</v>
      </c>
      <c r="C17" s="12" t="str">
        <f t="shared" si="2"/>
        <v>87.67±0.62%</v>
      </c>
      <c r="D17" s="12" t="str">
        <f t="shared" si="3"/>
        <v>75.42±1.61%</v>
      </c>
      <c r="E17" s="12" t="str">
        <f t="shared" si="4"/>
        <v>78.74±1.46%</v>
      </c>
      <c r="F17" s="12" t="str">
        <f t="shared" si="5"/>
        <v>70.49±1.53%</v>
      </c>
      <c r="G17" s="12" t="str">
        <f t="shared" si="6"/>
        <v>73.03±1.40%</v>
      </c>
      <c r="H17" s="12" t="str">
        <f t="shared" si="7"/>
        <v>70.17±1.77%</v>
      </c>
      <c r="I17" s="12" t="str">
        <f t="shared" si="8"/>
        <v>96.37±0.23%</v>
      </c>
      <c r="J17" s="12" t="str">
        <f t="shared" si="9"/>
        <v>100.00±0.00%</v>
      </c>
      <c r="L17" t="s">
        <v>3</v>
      </c>
      <c r="M17" t="s">
        <v>21</v>
      </c>
      <c r="N17" t="s">
        <v>29</v>
      </c>
      <c r="O17" t="s">
        <v>37</v>
      </c>
      <c r="P17" t="s">
        <v>44</v>
      </c>
      <c r="Q17" t="s">
        <v>51</v>
      </c>
      <c r="R17" t="s">
        <v>58</v>
      </c>
      <c r="S17" t="s">
        <v>65</v>
      </c>
    </row>
    <row r="18" spans="1:19" x14ac:dyDescent="0.35">
      <c r="A18" s="13" t="s">
        <v>13</v>
      </c>
      <c r="B18" s="10" t="str">
        <f t="shared" si="1"/>
        <v>97.37±0.59%</v>
      </c>
      <c r="C18" s="12" t="str">
        <f t="shared" si="2"/>
        <v>97.44±0.62%</v>
      </c>
      <c r="D18" s="12" t="str">
        <f t="shared" si="3"/>
        <v>97.37±0.59%</v>
      </c>
      <c r="E18" s="12" t="str">
        <f t="shared" si="4"/>
        <v>97.39±0.60%</v>
      </c>
      <c r="F18" s="12" t="str">
        <f t="shared" si="5"/>
        <v>95.21±1.02%</v>
      </c>
      <c r="G18" s="12" t="str">
        <f t="shared" si="6"/>
        <v>96.56±0.79%</v>
      </c>
      <c r="H18" s="12" t="str">
        <f t="shared" si="7"/>
        <v>96.55±0.78%</v>
      </c>
      <c r="I18" s="12" t="str">
        <f t="shared" si="8"/>
        <v>99.56±0.11%</v>
      </c>
      <c r="J18" s="12" t="str">
        <f t="shared" si="9"/>
        <v>100.00±0.00%</v>
      </c>
      <c r="L18" t="s">
        <v>4</v>
      </c>
      <c r="M18" t="s">
        <v>23</v>
      </c>
      <c r="N18" t="s">
        <v>31</v>
      </c>
      <c r="O18" t="s">
        <v>39</v>
      </c>
      <c r="P18" t="s">
        <v>46</v>
      </c>
      <c r="Q18" t="s">
        <v>53</v>
      </c>
      <c r="R18" t="s">
        <v>60</v>
      </c>
      <c r="S18" t="s">
        <v>67</v>
      </c>
    </row>
    <row r="19" spans="1:19" x14ac:dyDescent="0.35">
      <c r="A19" s="1" t="s">
        <v>14</v>
      </c>
      <c r="B19" s="12" t="str">
        <f t="shared" si="1"/>
        <v>75.35±1.62%</v>
      </c>
      <c r="C19" s="12" t="str">
        <f t="shared" si="2"/>
        <v>87.77±0.55%</v>
      </c>
      <c r="D19" s="12" t="str">
        <f t="shared" si="3"/>
        <v>75.35±1.62%</v>
      </c>
      <c r="E19" s="12" t="str">
        <f t="shared" si="4"/>
        <v>78.60±1.46%</v>
      </c>
      <c r="F19" s="12" t="str">
        <f t="shared" si="5"/>
        <v>70.22±1.45%</v>
      </c>
      <c r="G19" s="12" t="str">
        <f t="shared" si="6"/>
        <v>73.08±1.37%</v>
      </c>
      <c r="H19" s="12" t="str">
        <f t="shared" si="7"/>
        <v>70.12±1.76%</v>
      </c>
      <c r="I19" s="12" t="str">
        <f t="shared" si="8"/>
        <v>96.37±0.22%</v>
      </c>
      <c r="J19" s="12" t="str">
        <f t="shared" si="9"/>
        <v>100.00±0.00%</v>
      </c>
      <c r="L19" t="s">
        <v>5</v>
      </c>
      <c r="M19" t="s">
        <v>24</v>
      </c>
      <c r="N19" t="s">
        <v>32</v>
      </c>
      <c r="O19" t="s">
        <v>40</v>
      </c>
      <c r="P19" t="s">
        <v>47</v>
      </c>
      <c r="Q19" t="s">
        <v>54</v>
      </c>
      <c r="R19" t="s">
        <v>61</v>
      </c>
      <c r="S19" t="s">
        <v>68</v>
      </c>
    </row>
    <row r="20" spans="1:19" x14ac:dyDescent="0.35">
      <c r="A20" s="1" t="s">
        <v>15</v>
      </c>
      <c r="B20" s="12" t="str">
        <f t="shared" si="1"/>
        <v>75.80±1.37%</v>
      </c>
      <c r="C20" s="12" t="str">
        <f t="shared" si="2"/>
        <v>88.57±0.42%</v>
      </c>
      <c r="D20" s="12" t="str">
        <f t="shared" si="3"/>
        <v>75.80±1.37%</v>
      </c>
      <c r="E20" s="12" t="str">
        <f t="shared" si="4"/>
        <v>79.03±1.28%</v>
      </c>
      <c r="F20" s="12" t="str">
        <f t="shared" si="5"/>
        <v>70.72±1.36%</v>
      </c>
      <c r="G20" s="12" t="str">
        <f t="shared" si="6"/>
        <v>73.82±1.07%</v>
      </c>
      <c r="H20" s="12" t="str">
        <f t="shared" si="7"/>
        <v>70.72±1.48%</v>
      </c>
      <c r="I20" s="12" t="str">
        <f t="shared" si="8"/>
        <v>96.47±0.18%</v>
      </c>
      <c r="J20" s="12" t="str">
        <f t="shared" si="9"/>
        <v>100.00±0.00%</v>
      </c>
      <c r="L20" t="s">
        <v>6</v>
      </c>
      <c r="M20" t="s">
        <v>25</v>
      </c>
      <c r="N20" t="s">
        <v>33</v>
      </c>
      <c r="O20" t="s">
        <v>41</v>
      </c>
      <c r="P20" t="s">
        <v>48</v>
      </c>
      <c r="Q20" t="s">
        <v>55</v>
      </c>
      <c r="R20" t="s">
        <v>62</v>
      </c>
      <c r="S20" t="s">
        <v>69</v>
      </c>
    </row>
    <row r="21" spans="1:19" x14ac:dyDescent="0.35">
      <c r="A21" s="1" t="s">
        <v>16</v>
      </c>
      <c r="B21" s="12" t="str">
        <f t="shared" si="1"/>
        <v>79.65±1.68%</v>
      </c>
      <c r="C21" s="12" t="str">
        <f t="shared" si="2"/>
        <v>89.53±0.43%</v>
      </c>
      <c r="D21" s="12" t="str">
        <f t="shared" si="3"/>
        <v>79.65±1.68%</v>
      </c>
      <c r="E21" s="12" t="str">
        <f t="shared" si="4"/>
        <v>82.45±1.44%</v>
      </c>
      <c r="F21" s="12" t="str">
        <f t="shared" si="5"/>
        <v>74.54±1.68%</v>
      </c>
      <c r="G21" s="12" t="str">
        <f t="shared" si="6"/>
        <v>77.07±1.48%</v>
      </c>
      <c r="H21" s="12" t="str">
        <f t="shared" si="7"/>
        <v>74.97±1.88%</v>
      </c>
      <c r="I21" s="12" t="str">
        <f t="shared" si="8"/>
        <v>96.99±0.23%</v>
      </c>
      <c r="J21" s="12" t="str">
        <f t="shared" si="9"/>
        <v>100.00±0.00%</v>
      </c>
      <c r="L21" t="s">
        <v>7</v>
      </c>
      <c r="M21" t="s">
        <v>26</v>
      </c>
      <c r="N21" t="s">
        <v>34</v>
      </c>
      <c r="O21" t="s">
        <v>42</v>
      </c>
      <c r="P21" t="s">
        <v>49</v>
      </c>
      <c r="Q21" t="s">
        <v>56</v>
      </c>
      <c r="R21" t="s">
        <v>63</v>
      </c>
      <c r="S21" t="s">
        <v>70</v>
      </c>
    </row>
    <row r="22" spans="1:19" x14ac:dyDescent="0.35">
      <c r="A22" s="1" t="s">
        <v>17</v>
      </c>
      <c r="B22" s="12" t="str">
        <f t="shared" si="1"/>
        <v>5.61±0.06%</v>
      </c>
      <c r="C22" s="12" t="str">
        <f t="shared" si="2"/>
        <v>0.31±0.01%</v>
      </c>
      <c r="D22" s="12" t="str">
        <f t="shared" si="3"/>
        <v>5.61±0.06%</v>
      </c>
      <c r="E22" s="12" t="str">
        <f t="shared" si="4"/>
        <v>0.60±0.01%</v>
      </c>
      <c r="F22" s="12" t="str">
        <f t="shared" si="5"/>
        <v>0.31±0.01%</v>
      </c>
      <c r="G22" s="12" t="str">
        <f t="shared" si="6"/>
        <v>0.00±0.00%</v>
      </c>
      <c r="H22" s="12" t="str">
        <f t="shared" si="7"/>
        <v>0.00±0.00%</v>
      </c>
      <c r="I22" s="12" t="str">
        <f t="shared" si="8"/>
        <v>87.50±0.00%</v>
      </c>
      <c r="J22" s="12" t="str">
        <f t="shared" si="9"/>
        <v>100.00±0.00%</v>
      </c>
      <c r="L22" s="8" t="s">
        <v>8</v>
      </c>
      <c r="M22" s="8" t="s">
        <v>27</v>
      </c>
      <c r="N22" s="8" t="s">
        <v>35</v>
      </c>
      <c r="O22" s="8" t="s">
        <v>43</v>
      </c>
      <c r="P22" s="8" t="s">
        <v>50</v>
      </c>
      <c r="Q22" s="8" t="s">
        <v>57</v>
      </c>
      <c r="R22" s="8" t="s">
        <v>64</v>
      </c>
      <c r="S22" s="8" t="s">
        <v>71</v>
      </c>
    </row>
    <row r="23" spans="1:19" x14ac:dyDescent="0.35">
      <c r="L23" s="8" t="s">
        <v>9</v>
      </c>
      <c r="M23" s="8" t="s">
        <v>28</v>
      </c>
      <c r="N23" s="8" t="s">
        <v>36</v>
      </c>
      <c r="O23" s="8" t="s">
        <v>28</v>
      </c>
      <c r="P23" s="8" t="s">
        <v>28</v>
      </c>
      <c r="Q23" s="8" t="s">
        <v>28</v>
      </c>
      <c r="R23" s="8" t="s">
        <v>28</v>
      </c>
      <c r="S23" s="8" t="s">
        <v>28</v>
      </c>
    </row>
    <row r="26" spans="1:19" x14ac:dyDescent="0.35">
      <c r="A26" t="s">
        <v>20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s="8" t="s">
        <v>8</v>
      </c>
      <c r="J26" s="8" t="s">
        <v>9</v>
      </c>
    </row>
    <row r="27" spans="1:19" x14ac:dyDescent="0.35">
      <c r="A27" t="s">
        <v>10</v>
      </c>
      <c r="B27" t="s">
        <v>21</v>
      </c>
      <c r="C27" t="s">
        <v>22</v>
      </c>
      <c r="D27" t="s">
        <v>21</v>
      </c>
      <c r="E27" t="s">
        <v>23</v>
      </c>
      <c r="F27" t="s">
        <v>24</v>
      </c>
      <c r="G27" t="s">
        <v>25</v>
      </c>
      <c r="H27" t="s">
        <v>26</v>
      </c>
      <c r="I27" s="8" t="s">
        <v>27</v>
      </c>
      <c r="J27" s="8" t="s">
        <v>28</v>
      </c>
    </row>
    <row r="28" spans="1:19" x14ac:dyDescent="0.35">
      <c r="A28" t="s">
        <v>11</v>
      </c>
      <c r="B28" t="s">
        <v>29</v>
      </c>
      <c r="C28" t="s">
        <v>30</v>
      </c>
      <c r="D28" t="s">
        <v>29</v>
      </c>
      <c r="E28" t="s">
        <v>31</v>
      </c>
      <c r="F28" t="s">
        <v>32</v>
      </c>
      <c r="G28" t="s">
        <v>33</v>
      </c>
      <c r="H28" t="s">
        <v>34</v>
      </c>
      <c r="I28" s="8" t="s">
        <v>35</v>
      </c>
      <c r="J28" s="8" t="s">
        <v>36</v>
      </c>
    </row>
    <row r="29" spans="1:19" x14ac:dyDescent="0.35">
      <c r="A29" t="s">
        <v>12</v>
      </c>
      <c r="B29" t="s">
        <v>37</v>
      </c>
      <c r="C29" t="s">
        <v>38</v>
      </c>
      <c r="D29" t="s">
        <v>37</v>
      </c>
      <c r="E29" t="s">
        <v>39</v>
      </c>
      <c r="F29" t="s">
        <v>40</v>
      </c>
      <c r="G29" t="s">
        <v>41</v>
      </c>
      <c r="H29" t="s">
        <v>42</v>
      </c>
      <c r="I29" s="8" t="s">
        <v>43</v>
      </c>
      <c r="J29" s="8" t="s">
        <v>28</v>
      </c>
    </row>
    <row r="30" spans="1:19" x14ac:dyDescent="0.35">
      <c r="A30" t="s">
        <v>13</v>
      </c>
      <c r="B30" t="s">
        <v>44</v>
      </c>
      <c r="C30" t="s">
        <v>45</v>
      </c>
      <c r="D30" t="s">
        <v>44</v>
      </c>
      <c r="E30" t="s">
        <v>46</v>
      </c>
      <c r="F30" t="s">
        <v>47</v>
      </c>
      <c r="G30" t="s">
        <v>48</v>
      </c>
      <c r="H30" t="s">
        <v>49</v>
      </c>
      <c r="I30" s="8" t="s">
        <v>50</v>
      </c>
      <c r="J30" s="8" t="s">
        <v>28</v>
      </c>
    </row>
    <row r="31" spans="1:19" x14ac:dyDescent="0.35">
      <c r="A31" t="s">
        <v>14</v>
      </c>
      <c r="B31" t="s">
        <v>51</v>
      </c>
      <c r="C31" t="s">
        <v>52</v>
      </c>
      <c r="D31" t="s">
        <v>51</v>
      </c>
      <c r="E31" t="s">
        <v>53</v>
      </c>
      <c r="F31" t="s">
        <v>54</v>
      </c>
      <c r="G31" t="s">
        <v>55</v>
      </c>
      <c r="H31" t="s">
        <v>56</v>
      </c>
      <c r="I31" s="8" t="s">
        <v>57</v>
      </c>
      <c r="J31" s="8" t="s">
        <v>28</v>
      </c>
    </row>
    <row r="32" spans="1:19" x14ac:dyDescent="0.35">
      <c r="A32" t="s">
        <v>15</v>
      </c>
      <c r="B32" t="s">
        <v>58</v>
      </c>
      <c r="C32" t="s">
        <v>59</v>
      </c>
      <c r="D32" t="s">
        <v>58</v>
      </c>
      <c r="E32" t="s">
        <v>60</v>
      </c>
      <c r="F32" t="s">
        <v>61</v>
      </c>
      <c r="G32" t="s">
        <v>62</v>
      </c>
      <c r="H32" t="s">
        <v>63</v>
      </c>
      <c r="I32" s="8" t="s">
        <v>64</v>
      </c>
      <c r="J32" s="8" t="s">
        <v>28</v>
      </c>
    </row>
    <row r="33" spans="1:10" x14ac:dyDescent="0.35">
      <c r="A33" t="s">
        <v>16</v>
      </c>
      <c r="B33" t="s">
        <v>65</v>
      </c>
      <c r="C33" t="s">
        <v>66</v>
      </c>
      <c r="D33" t="s">
        <v>65</v>
      </c>
      <c r="E33" t="s">
        <v>67</v>
      </c>
      <c r="F33" t="s">
        <v>68</v>
      </c>
      <c r="G33" t="s">
        <v>69</v>
      </c>
      <c r="H33" t="s">
        <v>70</v>
      </c>
      <c r="I33" s="8" t="s">
        <v>71</v>
      </c>
      <c r="J33" s="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fold 1</vt:lpstr>
      <vt:lpstr>fold 2</vt:lpstr>
      <vt:lpstr>fold 3</vt:lpstr>
      <vt:lpstr>fold 4</vt:lpstr>
      <vt:lpstr>fold 5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2026-01-19T16:33:35Z</dcterms:created>
  <dcterms:modified xsi:type="dcterms:W3CDTF">2026-01-20T19:52:49Z</dcterms:modified>
</cp:coreProperties>
</file>