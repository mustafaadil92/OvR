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tafa Adil\ovr\ovr on lc25000\"/>
    </mc:Choice>
  </mc:AlternateContent>
  <xr:revisionPtr revIDLastSave="0" documentId="13_ncr:1_{20562CCF-EE88-44E6-95A8-0CC1E058DCB0}" xr6:coauthVersionLast="47" xr6:coauthVersionMax="47" xr10:uidLastSave="{00000000-0000-0000-0000-000000000000}"/>
  <bookViews>
    <workbookView xWindow="-110" yWindow="-110" windowWidth="25820" windowHeight="13900" activeTab="5" xr2:uid="{F5D8AAFB-4EF8-4858-A05A-FC07FC566915}"/>
  </bookViews>
  <sheets>
    <sheet name="fold 1" sheetId="1" r:id="rId1"/>
    <sheet name="fold 2" sheetId="2" r:id="rId2"/>
    <sheet name="fold 3" sheetId="3" r:id="rId3"/>
    <sheet name="fold 4" sheetId="4" r:id="rId4"/>
    <sheet name="fold 5" sheetId="5" r:id="rId5"/>
    <sheet name="summe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6" l="1"/>
  <c r="C7" i="6"/>
  <c r="D7" i="6"/>
  <c r="E7" i="6"/>
  <c r="F7" i="6"/>
  <c r="G7" i="6"/>
  <c r="H7" i="6"/>
  <c r="I7" i="6"/>
  <c r="J7" i="6"/>
  <c r="C6" i="6"/>
  <c r="D6" i="6"/>
  <c r="E6" i="6"/>
  <c r="F6" i="6"/>
  <c r="G6" i="6"/>
  <c r="H6" i="6"/>
  <c r="I6" i="6"/>
  <c r="J6" i="6"/>
  <c r="B6" i="6"/>
  <c r="M3" i="6"/>
  <c r="N3" i="6"/>
  <c r="O3" i="6"/>
  <c r="P3" i="6"/>
  <c r="Q3" i="6"/>
  <c r="R3" i="6"/>
  <c r="S3" i="6"/>
  <c r="T3" i="6"/>
  <c r="U3" i="6"/>
  <c r="N2" i="6"/>
  <c r="O2" i="6"/>
  <c r="P2" i="6"/>
  <c r="Q2" i="6"/>
  <c r="R2" i="6"/>
  <c r="S2" i="6"/>
  <c r="T2" i="6"/>
  <c r="U2" i="6"/>
  <c r="M2" i="6"/>
  <c r="B3" i="6"/>
  <c r="C3" i="6"/>
  <c r="D3" i="6"/>
  <c r="E3" i="6"/>
  <c r="F3" i="6"/>
  <c r="G3" i="6"/>
  <c r="H3" i="6"/>
  <c r="I3" i="6"/>
  <c r="J3" i="6"/>
  <c r="C2" i="6"/>
  <c r="D2" i="6"/>
  <c r="E2" i="6"/>
  <c r="F2" i="6"/>
  <c r="G2" i="6"/>
  <c r="H2" i="6"/>
  <c r="I2" i="6"/>
  <c r="J2" i="6"/>
  <c r="B2" i="6"/>
</calcChain>
</file>

<file path=xl/sharedStrings.xml><?xml version="1.0" encoding="utf-8"?>
<sst xmlns="http://schemas.openxmlformats.org/spreadsheetml/2006/main" count="156" uniqueCount="28">
  <si>
    <t>Model</t>
  </si>
  <si>
    <t>Accuracy</t>
  </si>
  <si>
    <t>Precision</t>
  </si>
  <si>
    <t>Recall</t>
  </si>
  <si>
    <t>F1 Score</t>
  </si>
  <si>
    <t>Jaccard Index</t>
  </si>
  <si>
    <t>Matthews CorrCoef</t>
  </si>
  <si>
    <t>Cohen’s Kappa</t>
  </si>
  <si>
    <t>Specificity</t>
  </si>
  <si>
    <t>AUC</t>
  </si>
  <si>
    <t>ET-OvR</t>
  </si>
  <si>
    <t>RF-OvR</t>
  </si>
  <si>
    <t>95.37±0.50%</t>
  </si>
  <si>
    <t>95.37±0.49%</t>
  </si>
  <si>
    <t>95.36±0.50%</t>
  </si>
  <si>
    <t>91.20±0.91%</t>
  </si>
  <si>
    <t>94.22±0.62%</t>
  </si>
  <si>
    <t>94.21±0.63%</t>
  </si>
  <si>
    <t>98.84±0.13%</t>
  </si>
  <si>
    <t>99.65±0.11%</t>
  </si>
  <si>
    <t>94.47±0.64%</t>
  </si>
  <si>
    <t>94.45±0.65%</t>
  </si>
  <si>
    <t>89.59±1.15%</t>
  </si>
  <si>
    <t>93.10±0.79%</t>
  </si>
  <si>
    <t>93.09±0.80%</t>
  </si>
  <si>
    <t>98.62±0.16%</t>
  </si>
  <si>
    <t>99.54±0.10%</t>
  </si>
  <si>
    <t>evaluation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</si>
</sst>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6DBB-D4BA-4E5C-8071-61DAC89D9A11}">
  <dimension ref="A1:J3"/>
  <sheetViews>
    <sheetView workbookViewId="0">
      <selection sqref="A1:J3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10</v>
      </c>
      <c r="B2" s="2">
        <v>0.94640000000000002</v>
      </c>
      <c r="C2" s="2">
        <v>0.94660152519882701</v>
      </c>
      <c r="D2" s="2">
        <v>0.94640000000000002</v>
      </c>
      <c r="E2" s="2">
        <v>0.94623088161969204</v>
      </c>
      <c r="F2" s="2">
        <v>0.899051000796529</v>
      </c>
      <c r="G2" s="2">
        <v>0.93312952736822197</v>
      </c>
      <c r="H2" s="2">
        <v>0.93300000000000005</v>
      </c>
      <c r="I2" s="2">
        <v>0.98659999999999903</v>
      </c>
      <c r="J2" s="2">
        <v>0.99480900000000005</v>
      </c>
    </row>
    <row r="3" spans="1:10" x14ac:dyDescent="0.35">
      <c r="A3" s="4" t="s">
        <v>11</v>
      </c>
      <c r="B3" s="2">
        <v>0.93879999999999997</v>
      </c>
      <c r="C3" s="2">
        <v>0.93879463719231904</v>
      </c>
      <c r="D3" s="2">
        <v>0.93879999999999997</v>
      </c>
      <c r="E3" s="2">
        <v>0.938664676238534</v>
      </c>
      <c r="F3" s="2">
        <v>0.88584012060000605</v>
      </c>
      <c r="G3" s="2">
        <v>0.92356335861967598</v>
      </c>
      <c r="H3" s="2">
        <v>0.92349999999999999</v>
      </c>
      <c r="I3" s="2">
        <v>0.98469999999999902</v>
      </c>
      <c r="J3" s="2">
        <v>0.99393799999999999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2797-2A8E-4072-A54E-1BB28E7AE751}">
  <dimension ref="A1:J3"/>
  <sheetViews>
    <sheetView workbookViewId="0">
      <selection sqref="A1:J3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10</v>
      </c>
      <c r="B2" s="2">
        <v>0.95199999999999996</v>
      </c>
      <c r="C2" s="2">
        <v>0.95196905349460803</v>
      </c>
      <c r="D2" s="2">
        <v>0.95199999999999996</v>
      </c>
      <c r="E2" s="2">
        <v>0.95194132055536895</v>
      </c>
      <c r="F2" s="2">
        <v>0.90888346731278202</v>
      </c>
      <c r="G2" s="2">
        <v>0.94002124472019799</v>
      </c>
      <c r="H2" s="2">
        <v>0.94</v>
      </c>
      <c r="I2" s="2">
        <v>0.98799999999999999</v>
      </c>
      <c r="J2" s="2">
        <v>0.99627699999999997</v>
      </c>
    </row>
    <row r="3" spans="1:10" x14ac:dyDescent="0.35">
      <c r="A3" s="4" t="s">
        <v>11</v>
      </c>
      <c r="B3" s="2">
        <v>0.94440000000000002</v>
      </c>
      <c r="C3" s="2">
        <v>0.944286794269383</v>
      </c>
      <c r="D3" s="2">
        <v>0.94440000000000002</v>
      </c>
      <c r="E3" s="2">
        <v>0.94430477560486004</v>
      </c>
      <c r="F3" s="2">
        <v>0.89526161680990002</v>
      </c>
      <c r="G3" s="2">
        <v>0.93051916889232</v>
      </c>
      <c r="H3" s="2">
        <v>0.93049999999999999</v>
      </c>
      <c r="I3" s="2">
        <v>0.98609999999999998</v>
      </c>
      <c r="J3" s="2">
        <v>0.99537450000000005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C66D-9339-4549-8526-4810296981FD}">
  <dimension ref="A1:J3"/>
  <sheetViews>
    <sheetView workbookViewId="0">
      <selection sqref="A1:J3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10</v>
      </c>
      <c r="B2" s="2">
        <v>0.9536</v>
      </c>
      <c r="C2" s="2">
        <v>0.95363617936901601</v>
      </c>
      <c r="D2" s="2">
        <v>0.9536</v>
      </c>
      <c r="E2" s="2">
        <v>0.95356162816747003</v>
      </c>
      <c r="F2" s="2">
        <v>0.91180678498504397</v>
      </c>
      <c r="G2" s="2">
        <v>0.94202731918839</v>
      </c>
      <c r="H2" s="2">
        <v>0.94199999999999995</v>
      </c>
      <c r="I2" s="2">
        <v>0.98839999999999995</v>
      </c>
      <c r="J2" s="2">
        <v>0.99636950000000002</v>
      </c>
    </row>
    <row r="3" spans="1:10" x14ac:dyDescent="0.35">
      <c r="A3" s="4" t="s">
        <v>11</v>
      </c>
      <c r="B3" s="2">
        <v>0.94679999999999997</v>
      </c>
      <c r="C3" s="2">
        <v>0.94677672860683704</v>
      </c>
      <c r="D3" s="2">
        <v>0.94679999999999997</v>
      </c>
      <c r="E3" s="2">
        <v>0.94670683653790899</v>
      </c>
      <c r="F3" s="2">
        <v>0.89964176228153603</v>
      </c>
      <c r="G3" s="2">
        <v>0.933539396193796</v>
      </c>
      <c r="H3" s="2">
        <v>0.9335</v>
      </c>
      <c r="I3" s="2">
        <v>0.98670000000000002</v>
      </c>
      <c r="J3" s="2">
        <v>0.994721999999999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A4DD-3DD3-458D-A9C5-A7C40DADA0AE}">
  <dimension ref="A1:J3"/>
  <sheetViews>
    <sheetView workbookViewId="0">
      <selection sqref="A1:J3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10</v>
      </c>
      <c r="B2" s="2">
        <v>0.96199999999999997</v>
      </c>
      <c r="C2" s="2">
        <v>0.96189745540842497</v>
      </c>
      <c r="D2" s="2">
        <v>0.96199999999999997</v>
      </c>
      <c r="E2" s="2">
        <v>0.96191167538598099</v>
      </c>
      <c r="F2" s="2">
        <v>0.92723162665710901</v>
      </c>
      <c r="G2" s="2">
        <v>0.95251847903774101</v>
      </c>
      <c r="H2" s="2">
        <v>0.95250000000000001</v>
      </c>
      <c r="I2" s="2">
        <v>0.99049999999999905</v>
      </c>
      <c r="J2" s="2">
        <v>0.99790800000000002</v>
      </c>
    </row>
    <row r="3" spans="1:10" x14ac:dyDescent="0.35">
      <c r="A3" s="4" t="s">
        <v>11</v>
      </c>
      <c r="B3" s="2">
        <v>0.9556</v>
      </c>
      <c r="C3" s="2">
        <v>0.95549290972091605</v>
      </c>
      <c r="D3" s="2">
        <v>0.9556</v>
      </c>
      <c r="E3" s="2">
        <v>0.95546521383697802</v>
      </c>
      <c r="F3" s="2">
        <v>0.91550639530473799</v>
      </c>
      <c r="G3" s="2">
        <v>0.944540238271243</v>
      </c>
      <c r="H3" s="2">
        <v>0.94450000000000001</v>
      </c>
      <c r="I3" s="2">
        <v>0.9889</v>
      </c>
      <c r="J3" s="2">
        <v>0.99668749999999995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7BA2-7DCC-4C75-A998-BFB1C2F5F6E1}">
  <dimension ref="A1:J3"/>
  <sheetViews>
    <sheetView workbookViewId="0">
      <selection sqref="A1:J3"/>
    </sheetView>
  </sheetViews>
  <sheetFormatPr defaultRowHeight="14.5" x14ac:dyDescent="0.35"/>
  <sheetData>
    <row r="1" spans="1:10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10</v>
      </c>
      <c r="B2" s="2">
        <v>0.95440000000000003</v>
      </c>
      <c r="C2" s="2">
        <v>0.954407136034639</v>
      </c>
      <c r="D2" s="2">
        <v>0.95440000000000003</v>
      </c>
      <c r="E2" s="2">
        <v>0.95411040375912204</v>
      </c>
      <c r="F2" s="2">
        <v>0.91293717851033696</v>
      </c>
      <c r="G2" s="2">
        <v>0.94314393474750102</v>
      </c>
      <c r="H2" s="2">
        <v>0.94299999999999995</v>
      </c>
      <c r="I2" s="2">
        <v>0.98860000000000003</v>
      </c>
      <c r="J2" s="2">
        <v>0.99735850000000004</v>
      </c>
    </row>
    <row r="3" spans="1:10" x14ac:dyDescent="0.35">
      <c r="A3" s="4" t="s">
        <v>11</v>
      </c>
      <c r="B3" s="2">
        <v>0.93799999999999994</v>
      </c>
      <c r="C3" s="2">
        <v>0.93793151065220304</v>
      </c>
      <c r="D3" s="2">
        <v>0.93799999999999994</v>
      </c>
      <c r="E3" s="2">
        <v>0.93747174427864</v>
      </c>
      <c r="F3" s="2">
        <v>0.883341236825538</v>
      </c>
      <c r="G3" s="2">
        <v>0.92274105144806895</v>
      </c>
      <c r="H3" s="2">
        <v>0.92249999999999999</v>
      </c>
      <c r="I3" s="2">
        <v>0.98450000000000004</v>
      </c>
      <c r="J3" s="2">
        <v>0.996115999999999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7C17-EF80-49E8-8B36-8A37D9C092BD}">
  <dimension ref="A1:U18"/>
  <sheetViews>
    <sheetView tabSelected="1" workbookViewId="0">
      <selection activeCell="L9" sqref="L9:N18"/>
    </sheetView>
  </sheetViews>
  <sheetFormatPr defaultRowHeight="14.5" x14ac:dyDescent="0.35"/>
  <cols>
    <col min="1" max="1" width="6.81640625" bestFit="1" customWidth="1"/>
    <col min="2" max="5" width="11.36328125" bestFit="1" customWidth="1"/>
    <col min="6" max="6" width="12" bestFit="1" customWidth="1"/>
    <col min="7" max="7" width="17.453125" bestFit="1" customWidth="1"/>
    <col min="8" max="8" width="13.36328125" bestFit="1" customWidth="1"/>
    <col min="9" max="10" width="11.36328125" bestFit="1" customWidth="1"/>
    <col min="13" max="13" width="11.36328125" bestFit="1" customWidth="1"/>
  </cols>
  <sheetData>
    <row r="1" spans="1:21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1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</row>
    <row r="2" spans="1:21" x14ac:dyDescent="0.35">
      <c r="A2" s="4" t="s">
        <v>10</v>
      </c>
      <c r="B2" s="2">
        <f>AVERAGE('fold 1'!B2,'fold 2'!B2,'fold 3'!B2,'fold 4'!B2,'fold 5'!B2)</f>
        <v>0.95367999999999997</v>
      </c>
      <c r="C2" s="2">
        <f>AVERAGE('fold 1'!C2,'fold 2'!C2,'fold 3'!C2,'fold 4'!C2,'fold 5'!C2)</f>
        <v>0.95370226990110307</v>
      </c>
      <c r="D2" s="2">
        <f>AVERAGE('fold 1'!D2,'fold 2'!D2,'fold 3'!D2,'fold 4'!D2,'fold 5'!D2)</f>
        <v>0.95367999999999997</v>
      </c>
      <c r="E2" s="2">
        <f>AVERAGE('fold 1'!E2,'fold 2'!E2,'fold 3'!E2,'fold 4'!E2,'fold 5'!E2)</f>
        <v>0.95355118189752675</v>
      </c>
      <c r="F2" s="2">
        <f>AVERAGE('fold 1'!F2,'fold 2'!F2,'fold 3'!F2,'fold 4'!F2,'fold 5'!F2)</f>
        <v>0.91198201165236026</v>
      </c>
      <c r="G2" s="2">
        <f>AVERAGE('fold 1'!G2,'fold 2'!G2,'fold 3'!G2,'fold 4'!G2,'fold 5'!G2)</f>
        <v>0.94216810101241033</v>
      </c>
      <c r="H2" s="2">
        <f>AVERAGE('fold 1'!H2,'fold 2'!H2,'fold 3'!H2,'fold 4'!H2,'fold 5'!H2)</f>
        <v>0.94209999999999994</v>
      </c>
      <c r="I2" s="2">
        <f>AVERAGE('fold 1'!I2,'fold 2'!I2,'fold 3'!I2,'fold 4'!I2,'fold 5'!I2)</f>
        <v>0.98841999999999963</v>
      </c>
      <c r="J2" s="2">
        <f>AVERAGE('fold 1'!J2,'fold 2'!J2,'fold 3'!J2,'fold 4'!J2,'fold 5'!J2)</f>
        <v>0.9965444</v>
      </c>
      <c r="L2" s="4" t="s">
        <v>10</v>
      </c>
      <c r="M2" s="2">
        <f>_xlfn.STDEV.P('fold 1'!B2,'fold 2'!B2,'fold 3'!B2,'fold 4'!B2,'fold 5'!B2)</f>
        <v>5.0113471242770515E-3</v>
      </c>
      <c r="N2" s="2">
        <f>_xlfn.STDEV.P('fold 1'!C2,'fold 2'!C2,'fold 3'!C2,'fold 4'!C2,'fold 5'!C2)</f>
        <v>4.9211154053263482E-3</v>
      </c>
      <c r="O2" s="2">
        <f>_xlfn.STDEV.P('fold 1'!D2,'fold 2'!D2,'fold 3'!D2,'fold 4'!D2,'fold 5'!D2)</f>
        <v>5.0113471242770515E-3</v>
      </c>
      <c r="P2" s="2">
        <f>_xlfn.STDEV.P('fold 1'!E2,'fold 2'!E2,'fold 3'!E2,'fold 4'!E2,'fold 5'!E2)</f>
        <v>5.0277060233106024E-3</v>
      </c>
      <c r="Q2" s="2">
        <f>_xlfn.STDEV.P('fold 1'!F2,'fold 2'!F2,'fold 3'!F2,'fold 4'!F2,'fold 5'!F2)</f>
        <v>9.0587617772246599E-3</v>
      </c>
      <c r="R2" s="2">
        <f>_xlfn.STDEV.P('fold 1'!G2,'fold 2'!G2,'fold 3'!G2,'fold 4'!G2,'fold 5'!G2)</f>
        <v>6.2354984039544419E-3</v>
      </c>
      <c r="S2" s="2">
        <f>_xlfn.STDEV.P('fold 1'!H2,'fold 2'!H2,'fold 3'!H2,'fold 4'!H2,'fold 5'!H2)</f>
        <v>6.2641839053463218E-3</v>
      </c>
      <c r="T2" s="2">
        <f>_xlfn.STDEV.P('fold 1'!I2,'fold 2'!I2,'fold 3'!I2,'fold 4'!I2,'fold 5'!I2)</f>
        <v>1.2528367810692325E-3</v>
      </c>
      <c r="U2" s="2">
        <f>_xlfn.STDEV.P('fold 1'!J2,'fold 2'!J2,'fold 3'!J2,'fold 4'!J2,'fold 5'!J2)</f>
        <v>1.0616844823204234E-3</v>
      </c>
    </row>
    <row r="3" spans="1:21" x14ac:dyDescent="0.35">
      <c r="A3" s="4" t="s">
        <v>11</v>
      </c>
      <c r="B3" s="2">
        <f>AVERAGE('fold 1'!B3,'fold 2'!B3,'fold 3'!B3,'fold 4'!B3,'fold 5'!B3)</f>
        <v>0.94472</v>
      </c>
      <c r="C3" s="2">
        <f>AVERAGE('fold 1'!C3,'fold 2'!C3,'fold 3'!C3,'fold 4'!C3,'fold 5'!C3)</f>
        <v>0.94465651608833168</v>
      </c>
      <c r="D3" s="2">
        <f>AVERAGE('fold 1'!D3,'fold 2'!D3,'fold 3'!D3,'fold 4'!D3,'fold 5'!D3)</f>
        <v>0.94472</v>
      </c>
      <c r="E3" s="2">
        <f>AVERAGE('fold 1'!E3,'fold 2'!E3,'fold 3'!E3,'fold 4'!E3,'fold 5'!E3)</f>
        <v>0.94452264929938434</v>
      </c>
      <c r="F3" s="2">
        <f>AVERAGE('fold 1'!F3,'fold 2'!F3,'fold 3'!F3,'fold 4'!F3,'fold 5'!F3)</f>
        <v>0.8959182263643436</v>
      </c>
      <c r="G3" s="2">
        <f>AVERAGE('fold 1'!G3,'fold 2'!G3,'fold 3'!G3,'fold 4'!G3,'fold 5'!G3)</f>
        <v>0.9309806426850209</v>
      </c>
      <c r="H3" s="2">
        <f>AVERAGE('fold 1'!H3,'fold 2'!H3,'fold 3'!H3,'fold 4'!H3,'fold 5'!H3)</f>
        <v>0.93090000000000006</v>
      </c>
      <c r="I3" s="2">
        <f>AVERAGE('fold 1'!I3,'fold 2'!I3,'fold 3'!I3,'fold 4'!I3,'fold 5'!I3)</f>
        <v>0.98617999999999983</v>
      </c>
      <c r="J3" s="2">
        <f>AVERAGE('fold 1'!J3,'fold 2'!J3,'fold 3'!J3,'fold 4'!J3,'fold 5'!J3)</f>
        <v>0.99536759999999957</v>
      </c>
      <c r="L3" s="4" t="s">
        <v>11</v>
      </c>
      <c r="M3" s="2">
        <f>_xlfn.STDEV.P('fold 1'!B3,'fold 2'!B3,'fold 3'!B3,'fold 4'!B3,'fold 5'!B3)</f>
        <v>6.3719384805567781E-3</v>
      </c>
      <c r="N3" s="2">
        <f>_xlfn.STDEV.P('fold 1'!C3,'fold 2'!C3,'fold 3'!C3,'fold 4'!C3,'fold 5'!C3)</f>
        <v>6.3505392623749175E-3</v>
      </c>
      <c r="O3" s="2">
        <f>_xlfn.STDEV.P('fold 1'!D3,'fold 2'!D3,'fold 3'!D3,'fold 4'!D3,'fold 5'!D3)</f>
        <v>6.3719384805567781E-3</v>
      </c>
      <c r="P3" s="2">
        <f>_xlfn.STDEV.P('fold 1'!E3,'fold 2'!E3,'fold 3'!E3,'fold 4'!E3,'fold 5'!E3)</f>
        <v>6.4589313588597382E-3</v>
      </c>
      <c r="Q3" s="2">
        <f>_xlfn.STDEV.P('fold 1'!F3,'fold 2'!F3,'fold 3'!F3,'fold 4'!F3,'fold 5'!F3)</f>
        <v>1.1469447239753442E-2</v>
      </c>
      <c r="R3" s="2">
        <f>_xlfn.STDEV.P('fold 1'!G3,'fold 2'!G3,'fold 3'!G3,'fold 4'!G3,'fold 5'!G3)</f>
        <v>7.9187091965798023E-3</v>
      </c>
      <c r="S3" s="2">
        <f>_xlfn.STDEV.P('fold 1'!H3,'fold 2'!H3,'fold 3'!H3,'fold 4'!H3,'fold 5'!H3)</f>
        <v>7.964923100695959E-3</v>
      </c>
      <c r="T3" s="2">
        <f>_xlfn.STDEV.P('fold 1'!I3,'fold 2'!I3,'fold 3'!I3,'fold 4'!I3,'fold 5'!I3)</f>
        <v>1.5929846201393656E-3</v>
      </c>
      <c r="U3" s="2">
        <f>_xlfn.STDEV.P('fold 1'!J3,'fold 2'!J3,'fold 3'!J3,'fold 4'!J3,'fold 5'!J3)</f>
        <v>9.7599607581175263E-4</v>
      </c>
    </row>
    <row r="5" spans="1:21" x14ac:dyDescent="0.35">
      <c r="A5" s="5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</row>
    <row r="6" spans="1:21" x14ac:dyDescent="0.35">
      <c r="A6" s="7" t="s">
        <v>10</v>
      </c>
      <c r="B6" s="8" t="str">
        <f>_xlfn.CONCAT(TEXT(B2*100,"0.00"),"±",TEXT(M2*100,"0.00"),"%")</f>
        <v>95.37±0.50%</v>
      </c>
      <c r="C6" s="8" t="str">
        <f t="shared" ref="C6:J6" si="0">_xlfn.CONCAT(TEXT(C2*100,"0.00"),"±",TEXT(N2*100,"0.00"),"%")</f>
        <v>95.37±0.49%</v>
      </c>
      <c r="D6" s="8" t="str">
        <f t="shared" si="0"/>
        <v>95.37±0.50%</v>
      </c>
      <c r="E6" s="8" t="str">
        <f t="shared" si="0"/>
        <v>95.36±0.50%</v>
      </c>
      <c r="F6" s="8" t="str">
        <f t="shared" si="0"/>
        <v>91.20±0.91%</v>
      </c>
      <c r="G6" s="8" t="str">
        <f t="shared" si="0"/>
        <v>94.22±0.62%</v>
      </c>
      <c r="H6" s="8" t="str">
        <f t="shared" si="0"/>
        <v>94.21±0.63%</v>
      </c>
      <c r="I6" s="8" t="str">
        <f t="shared" si="0"/>
        <v>98.84±0.13%</v>
      </c>
      <c r="J6" s="8" t="str">
        <f t="shared" si="0"/>
        <v>99.65±0.11%</v>
      </c>
    </row>
    <row r="7" spans="1:21" x14ac:dyDescent="0.35">
      <c r="A7" s="7" t="s">
        <v>11</v>
      </c>
      <c r="B7" s="8" t="str">
        <f>_xlfn.CONCAT(TEXT(B3*100,"0.00"),"±",TEXT(M3*100,"0.00"),"%")</f>
        <v>94.47±0.64%</v>
      </c>
      <c r="C7" s="8" t="str">
        <f t="shared" ref="C7" si="1">_xlfn.CONCAT(TEXT(C3*100,"0.00"),"±",TEXT(N3*100,"0.00"),"%")</f>
        <v>94.47±0.64%</v>
      </c>
      <c r="D7" s="8" t="str">
        <f t="shared" ref="D7" si="2">_xlfn.CONCAT(TEXT(D3*100,"0.00"),"±",TEXT(O3*100,"0.00"),"%")</f>
        <v>94.47±0.64%</v>
      </c>
      <c r="E7" s="8" t="str">
        <f t="shared" ref="E7" si="3">_xlfn.CONCAT(TEXT(E3*100,"0.00"),"±",TEXT(P3*100,"0.00"),"%")</f>
        <v>94.45±0.65%</v>
      </c>
      <c r="F7" s="8" t="str">
        <f t="shared" ref="F7" si="4">_xlfn.CONCAT(TEXT(F3*100,"0.00"),"±",TEXT(Q3*100,"0.00"),"%")</f>
        <v>89.59±1.15%</v>
      </c>
      <c r="G7" s="8" t="str">
        <f t="shared" ref="G7" si="5">_xlfn.CONCAT(TEXT(G3*100,"0.00"),"±",TEXT(R3*100,"0.00"),"%")</f>
        <v>93.10±0.79%</v>
      </c>
      <c r="H7" s="8" t="str">
        <f t="shared" ref="H7" si="6">_xlfn.CONCAT(TEXT(H3*100,"0.00"),"±",TEXT(S3*100,"0.00"),"%")</f>
        <v>93.09±0.80%</v>
      </c>
      <c r="I7" s="8" t="str">
        <f t="shared" ref="I7" si="7">_xlfn.CONCAT(TEXT(I3*100,"0.00"),"±",TEXT(T3*100,"0.00"),"%")</f>
        <v>98.62±0.16%</v>
      </c>
      <c r="J7" s="8" t="str">
        <f t="shared" ref="J7" si="8">_xlfn.CONCAT(TEXT(J3*100,"0.00"),"±",TEXT(U3*100,"0.00"),"%")</f>
        <v>99.54±0.10%</v>
      </c>
    </row>
    <row r="9" spans="1:21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L9" t="s">
        <v>27</v>
      </c>
      <c r="M9" t="s">
        <v>10</v>
      </c>
      <c r="N9" t="s">
        <v>11</v>
      </c>
    </row>
    <row r="10" spans="1:21" x14ac:dyDescent="0.35">
      <c r="A10" t="s">
        <v>10</v>
      </c>
      <c r="B10" t="s">
        <v>12</v>
      </c>
      <c r="C10" t="s">
        <v>13</v>
      </c>
      <c r="D10" t="s">
        <v>12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L10" t="s">
        <v>1</v>
      </c>
      <c r="M10" t="s">
        <v>12</v>
      </c>
      <c r="N10" t="s">
        <v>20</v>
      </c>
    </row>
    <row r="11" spans="1:21" x14ac:dyDescent="0.35">
      <c r="A11" t="s">
        <v>11</v>
      </c>
      <c r="B11" t="s">
        <v>20</v>
      </c>
      <c r="C11" t="s">
        <v>20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L11" t="s">
        <v>2</v>
      </c>
      <c r="M11" t="s">
        <v>13</v>
      </c>
      <c r="N11" t="s">
        <v>20</v>
      </c>
    </row>
    <row r="12" spans="1:21" x14ac:dyDescent="0.35">
      <c r="L12" t="s">
        <v>3</v>
      </c>
      <c r="M12" t="s">
        <v>12</v>
      </c>
      <c r="N12" t="s">
        <v>20</v>
      </c>
    </row>
    <row r="13" spans="1:21" x14ac:dyDescent="0.35">
      <c r="L13" t="s">
        <v>4</v>
      </c>
      <c r="M13" t="s">
        <v>14</v>
      </c>
      <c r="N13" t="s">
        <v>21</v>
      </c>
    </row>
    <row r="14" spans="1:21" x14ac:dyDescent="0.35">
      <c r="L14" t="s">
        <v>5</v>
      </c>
      <c r="M14" t="s">
        <v>15</v>
      </c>
      <c r="N14" t="s">
        <v>22</v>
      </c>
    </row>
    <row r="15" spans="1:21" x14ac:dyDescent="0.35">
      <c r="L15" t="s">
        <v>6</v>
      </c>
      <c r="M15" t="s">
        <v>16</v>
      </c>
      <c r="N15" t="s">
        <v>23</v>
      </c>
    </row>
    <row r="16" spans="1:21" x14ac:dyDescent="0.35">
      <c r="L16" t="s">
        <v>7</v>
      </c>
      <c r="M16" t="s">
        <v>17</v>
      </c>
      <c r="N16" t="s">
        <v>24</v>
      </c>
    </row>
    <row r="17" spans="12:14" x14ac:dyDescent="0.35">
      <c r="L17" t="s">
        <v>8</v>
      </c>
      <c r="M17" t="s">
        <v>18</v>
      </c>
      <c r="N17" t="s">
        <v>25</v>
      </c>
    </row>
    <row r="18" spans="12:14" x14ac:dyDescent="0.35">
      <c r="L18" t="s">
        <v>9</v>
      </c>
      <c r="M18" t="s">
        <v>19</v>
      </c>
      <c r="N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fold 1</vt:lpstr>
      <vt:lpstr>fold 2</vt:lpstr>
      <vt:lpstr>fold 3</vt:lpstr>
      <vt:lpstr>fold 4</vt:lpstr>
      <vt:lpstr>fold 5</vt:lpstr>
      <vt:lpstr>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2026-01-19T17:52:04Z</dcterms:created>
  <dcterms:modified xsi:type="dcterms:W3CDTF">2026-01-20T19:45:15Z</dcterms:modified>
</cp:coreProperties>
</file>