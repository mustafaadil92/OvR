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tafa Adil\ovr\ovr on lc25000\"/>
    </mc:Choice>
  </mc:AlternateContent>
  <xr:revisionPtr revIDLastSave="0" documentId="13_ncr:1_{80BF5C1C-F584-4BBA-AC07-488553FC5618}" xr6:coauthVersionLast="47" xr6:coauthVersionMax="47" xr10:uidLastSave="{00000000-0000-0000-0000-000000000000}"/>
  <bookViews>
    <workbookView xWindow="-110" yWindow="-110" windowWidth="25820" windowHeight="13900" activeTab="5" xr2:uid="{4AE55D06-6499-4623-A9A3-B8C685848106}"/>
  </bookViews>
  <sheets>
    <sheet name="fold 1" sheetId="1" r:id="rId1"/>
    <sheet name="fold 2" sheetId="2" r:id="rId2"/>
    <sheet name="fold 3" sheetId="3" r:id="rId3"/>
    <sheet name="fold 4" sheetId="4" r:id="rId4"/>
    <sheet name="fold 5" sheetId="5" r:id="rId5"/>
    <sheet name="summe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6" l="1"/>
  <c r="N3" i="6"/>
  <c r="O3" i="6"/>
  <c r="P3" i="6"/>
  <c r="Q3" i="6"/>
  <c r="R3" i="6"/>
  <c r="S3" i="6"/>
  <c r="T3" i="6"/>
  <c r="U3" i="6"/>
  <c r="M4" i="6"/>
  <c r="N4" i="6"/>
  <c r="O4" i="6"/>
  <c r="P4" i="6"/>
  <c r="Q4" i="6"/>
  <c r="R4" i="6"/>
  <c r="S4" i="6"/>
  <c r="T4" i="6"/>
  <c r="U4" i="6"/>
  <c r="M5" i="6"/>
  <c r="B16" i="6" s="1"/>
  <c r="N5" i="6"/>
  <c r="C16" i="6" s="1"/>
  <c r="O5" i="6"/>
  <c r="D16" i="6" s="1"/>
  <c r="P5" i="6"/>
  <c r="E16" i="6" s="1"/>
  <c r="Q5" i="6"/>
  <c r="F16" i="6" s="1"/>
  <c r="R5" i="6"/>
  <c r="G16" i="6" s="1"/>
  <c r="S5" i="6"/>
  <c r="T5" i="6"/>
  <c r="U5" i="6"/>
  <c r="M6" i="6"/>
  <c r="N6" i="6"/>
  <c r="O6" i="6"/>
  <c r="P6" i="6"/>
  <c r="Q6" i="6"/>
  <c r="R6" i="6"/>
  <c r="S6" i="6"/>
  <c r="T6" i="6"/>
  <c r="U6" i="6"/>
  <c r="M7" i="6"/>
  <c r="N7" i="6"/>
  <c r="O7" i="6"/>
  <c r="P7" i="6"/>
  <c r="Q7" i="6"/>
  <c r="R7" i="6"/>
  <c r="S7" i="6"/>
  <c r="T7" i="6"/>
  <c r="U7" i="6"/>
  <c r="M8" i="6"/>
  <c r="N8" i="6"/>
  <c r="O8" i="6"/>
  <c r="P8" i="6"/>
  <c r="Q8" i="6"/>
  <c r="R8" i="6"/>
  <c r="S8" i="6"/>
  <c r="T8" i="6"/>
  <c r="U8" i="6"/>
  <c r="M9" i="6"/>
  <c r="N9" i="6"/>
  <c r="O9" i="6"/>
  <c r="P9" i="6"/>
  <c r="Q9" i="6"/>
  <c r="R9" i="6"/>
  <c r="S9" i="6"/>
  <c r="T9" i="6"/>
  <c r="U9" i="6"/>
  <c r="N2" i="6"/>
  <c r="C13" i="6" s="1"/>
  <c r="O2" i="6"/>
  <c r="D13" i="6" s="1"/>
  <c r="P2" i="6"/>
  <c r="E13" i="6" s="1"/>
  <c r="Q2" i="6"/>
  <c r="R2" i="6"/>
  <c r="G13" i="6" s="1"/>
  <c r="S2" i="6"/>
  <c r="H13" i="6" s="1"/>
  <c r="T2" i="6"/>
  <c r="I13" i="6" s="1"/>
  <c r="U2" i="6"/>
  <c r="J13" i="6" s="1"/>
  <c r="M2" i="6"/>
  <c r="B3" i="6"/>
  <c r="C3" i="6"/>
  <c r="D3" i="6"/>
  <c r="E3" i="6"/>
  <c r="F3" i="6"/>
  <c r="G3" i="6"/>
  <c r="H3" i="6"/>
  <c r="I3" i="6"/>
  <c r="J3" i="6"/>
  <c r="B4" i="6"/>
  <c r="C4" i="6"/>
  <c r="D4" i="6"/>
  <c r="E4" i="6"/>
  <c r="F4" i="6"/>
  <c r="G4" i="6"/>
  <c r="H4" i="6"/>
  <c r="I4" i="6"/>
  <c r="J4" i="6"/>
  <c r="B5" i="6"/>
  <c r="C5" i="6"/>
  <c r="D5" i="6"/>
  <c r="E5" i="6"/>
  <c r="F5" i="6"/>
  <c r="G5" i="6"/>
  <c r="H5" i="6"/>
  <c r="I5" i="6"/>
  <c r="J5" i="6"/>
  <c r="B6" i="6"/>
  <c r="C6" i="6"/>
  <c r="D6" i="6"/>
  <c r="E6" i="6"/>
  <c r="F6" i="6"/>
  <c r="G6" i="6"/>
  <c r="H6" i="6"/>
  <c r="I6" i="6"/>
  <c r="J6" i="6"/>
  <c r="B7" i="6"/>
  <c r="C7" i="6"/>
  <c r="D7" i="6"/>
  <c r="E7" i="6"/>
  <c r="F7" i="6"/>
  <c r="G7" i="6"/>
  <c r="H7" i="6"/>
  <c r="I7" i="6"/>
  <c r="J7" i="6"/>
  <c r="B8" i="6"/>
  <c r="C8" i="6"/>
  <c r="D8" i="6"/>
  <c r="E8" i="6"/>
  <c r="F8" i="6"/>
  <c r="G8" i="6"/>
  <c r="H8" i="6"/>
  <c r="I8" i="6"/>
  <c r="J8" i="6"/>
  <c r="B9" i="6"/>
  <c r="C9" i="6"/>
  <c r="D9" i="6"/>
  <c r="E9" i="6"/>
  <c r="F9" i="6"/>
  <c r="G9" i="6"/>
  <c r="H9" i="6"/>
  <c r="I9" i="6"/>
  <c r="J9" i="6"/>
  <c r="C2" i="6"/>
  <c r="D2" i="6"/>
  <c r="E2" i="6"/>
  <c r="F2" i="6"/>
  <c r="G2" i="6"/>
  <c r="H2" i="6"/>
  <c r="I2" i="6"/>
  <c r="J2" i="6"/>
  <c r="B2" i="6"/>
  <c r="C14" i="6"/>
  <c r="D14" i="6"/>
  <c r="E14" i="6"/>
  <c r="F14" i="6"/>
  <c r="G14" i="6"/>
  <c r="H14" i="6"/>
  <c r="I14" i="6"/>
  <c r="J14" i="6"/>
  <c r="B15" i="6"/>
  <c r="C15" i="6"/>
  <c r="D15" i="6"/>
  <c r="E15" i="6"/>
  <c r="F15" i="6"/>
  <c r="G15" i="6"/>
  <c r="H15" i="6"/>
  <c r="I15" i="6"/>
  <c r="J15" i="6"/>
  <c r="H17" i="6"/>
  <c r="I17" i="6"/>
  <c r="J17" i="6"/>
  <c r="B18" i="6"/>
  <c r="C18" i="6"/>
  <c r="D18" i="6"/>
  <c r="E18" i="6"/>
  <c r="F18" i="6"/>
  <c r="G18" i="6"/>
  <c r="H18" i="6"/>
  <c r="I18" i="6"/>
  <c r="J18" i="6"/>
  <c r="B19" i="6"/>
  <c r="C19" i="6"/>
  <c r="D19" i="6"/>
  <c r="E19" i="6"/>
  <c r="F19" i="6"/>
  <c r="G19" i="6"/>
  <c r="H19" i="6"/>
  <c r="I19" i="6"/>
  <c r="J19" i="6"/>
  <c r="B20" i="6"/>
  <c r="C20" i="6"/>
  <c r="F13" i="6"/>
  <c r="B13" i="6"/>
  <c r="F17" i="6" l="1"/>
  <c r="G17" i="6"/>
  <c r="B14" i="6"/>
  <c r="J20" i="6"/>
  <c r="E17" i="6"/>
  <c r="I20" i="6"/>
  <c r="D17" i="6"/>
  <c r="H20" i="6"/>
  <c r="C17" i="6"/>
  <c r="G20" i="6"/>
  <c r="B17" i="6"/>
  <c r="F20" i="6"/>
  <c r="J16" i="6"/>
  <c r="E20" i="6"/>
  <c r="I16" i="6"/>
  <c r="D20" i="6"/>
  <c r="H16" i="6"/>
</calcChain>
</file>

<file path=xl/sharedStrings.xml><?xml version="1.0" encoding="utf-8"?>
<sst xmlns="http://schemas.openxmlformats.org/spreadsheetml/2006/main" count="304" uniqueCount="71">
  <si>
    <t>Model</t>
  </si>
  <si>
    <t>Accuracy</t>
  </si>
  <si>
    <t>Precision</t>
  </si>
  <si>
    <t>Recall</t>
  </si>
  <si>
    <t>F1 Score</t>
  </si>
  <si>
    <t>Jaccard Index</t>
  </si>
  <si>
    <t>Matthews CorrCoef</t>
  </si>
  <si>
    <t>Cohen’s Kappa</t>
  </si>
  <si>
    <t>Specificity</t>
  </si>
  <si>
    <t>AUC</t>
  </si>
  <si>
    <t>Random Forest</t>
  </si>
  <si>
    <t>K-Nearest Neighbors</t>
  </si>
  <si>
    <t>Decision Tree</t>
  </si>
  <si>
    <t>Extra Trees</t>
  </si>
  <si>
    <t>Bagging Classifier</t>
  </si>
  <si>
    <t>XGBoost</t>
  </si>
  <si>
    <t>LightGBM</t>
  </si>
  <si>
    <t>CatBoost</t>
  </si>
  <si>
    <t>96.86±0.20%</t>
  </si>
  <si>
    <t>96.87±0.20%</t>
  </si>
  <si>
    <t>93.95±0.36%</t>
  </si>
  <si>
    <t>96.08±0.25%</t>
  </si>
  <si>
    <t>99.22±0.05%</t>
  </si>
  <si>
    <t>99.84±0.04%</t>
  </si>
  <si>
    <t>89.04±0.65%</t>
  </si>
  <si>
    <t>89.26±0.64%</t>
  </si>
  <si>
    <t>88.95±0.66%</t>
  </si>
  <si>
    <t>80.27±1.07%</t>
  </si>
  <si>
    <t>86.39±0.80%</t>
  </si>
  <si>
    <t>86.30±0.81%</t>
  </si>
  <si>
    <t>97.26±0.16%</t>
  </si>
  <si>
    <t>98.26±0.36%</t>
  </si>
  <si>
    <t>96.18±0.26%</t>
  </si>
  <si>
    <t>96.19±0.26%</t>
  </si>
  <si>
    <t>92.70±0.47%</t>
  </si>
  <si>
    <t>95.23±0.33%</t>
  </si>
  <si>
    <t>99.05±0.07%</t>
  </si>
  <si>
    <t>96.93±0.21%</t>
  </si>
  <si>
    <t>97.07±0.21%</t>
  </si>
  <si>
    <t>97.07±0.22%</t>
  </si>
  <si>
    <t>94.34±0.39%</t>
  </si>
  <si>
    <t>96.34±0.26%</t>
  </si>
  <si>
    <t>96.34±0.27%</t>
  </si>
  <si>
    <t>99.27±0.05%</t>
  </si>
  <si>
    <t>99.86±0.03%</t>
  </si>
  <si>
    <t>97.30±0.16%</t>
  </si>
  <si>
    <t>97.32±0.17%</t>
  </si>
  <si>
    <t>97.31±0.16%</t>
  </si>
  <si>
    <t>94.79±0.31%</t>
  </si>
  <si>
    <t>96.63±0.20%</t>
  </si>
  <si>
    <t>99.33±0.04%</t>
  </si>
  <si>
    <t>99.62±0.20%</t>
  </si>
  <si>
    <t>98.26±0.20%</t>
  </si>
  <si>
    <t>98.27±0.20%</t>
  </si>
  <si>
    <t>96.60±0.39%</t>
  </si>
  <si>
    <t>97.83±0.26%</t>
  </si>
  <si>
    <t>99.57±0.05%</t>
  </si>
  <si>
    <t>99.92±0.03%</t>
  </si>
  <si>
    <t>98.22±0.14%</t>
  </si>
  <si>
    <t>96.51±0.27%</t>
  </si>
  <si>
    <t>97.77±0.18%</t>
  </si>
  <si>
    <t>99.55±0.04%</t>
  </si>
  <si>
    <t>99.93±0.04%</t>
  </si>
  <si>
    <t>Metrics</t>
  </si>
  <si>
    <t>RF</t>
  </si>
  <si>
    <t>KNN</t>
  </si>
  <si>
    <t>DT</t>
  </si>
  <si>
    <t>ET</t>
  </si>
  <si>
    <t>Bagging</t>
  </si>
  <si>
    <t>XGB</t>
  </si>
  <si>
    <t>LGB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</si>
</sst>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1412-8EF9-48AD-938F-EDEDA6FC6DCD}">
  <dimension ref="A1:J9"/>
  <sheetViews>
    <sheetView workbookViewId="0">
      <selection activeCell="F18" sqref="F18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0.96760000000000002</v>
      </c>
      <c r="C2" s="2">
        <v>0.96764360538781902</v>
      </c>
      <c r="D2" s="2">
        <v>0.96760000000000002</v>
      </c>
      <c r="E2" s="2">
        <v>0.967584778588921</v>
      </c>
      <c r="F2" s="2">
        <v>0.93790616158638396</v>
      </c>
      <c r="G2" s="2">
        <v>0.95951842293058198</v>
      </c>
      <c r="H2" s="2">
        <v>0.95950000000000002</v>
      </c>
      <c r="I2" s="2">
        <v>0.9919</v>
      </c>
      <c r="J2" s="2">
        <v>0.99811799999999995</v>
      </c>
    </row>
    <row r="3" spans="1:10" ht="58" x14ac:dyDescent="0.35">
      <c r="A3" s="4" t="s">
        <v>11</v>
      </c>
      <c r="B3" s="2">
        <v>0.88919999999999999</v>
      </c>
      <c r="C3" s="2">
        <v>0.89155037976070095</v>
      </c>
      <c r="D3" s="2">
        <v>0.88919999999999999</v>
      </c>
      <c r="E3" s="2">
        <v>0.88842079794670503</v>
      </c>
      <c r="F3" s="2">
        <v>0.80093786607966899</v>
      </c>
      <c r="G3" s="2">
        <v>0.86241429884348697</v>
      </c>
      <c r="H3" s="2">
        <v>0.86149999999999904</v>
      </c>
      <c r="I3" s="2">
        <v>0.97230000000000005</v>
      </c>
      <c r="J3" s="2">
        <v>0.98323649999999996</v>
      </c>
    </row>
    <row r="4" spans="1:10" ht="29" x14ac:dyDescent="0.35">
      <c r="A4" s="4" t="s">
        <v>12</v>
      </c>
      <c r="B4" s="2">
        <v>0.96</v>
      </c>
      <c r="C4" s="2">
        <v>0.96018465252936702</v>
      </c>
      <c r="D4" s="2">
        <v>0.96</v>
      </c>
      <c r="E4" s="2">
        <v>0.96005482633384398</v>
      </c>
      <c r="F4" s="2">
        <v>0.923652237771592</v>
      </c>
      <c r="G4" s="2">
        <v>0.95001862054744501</v>
      </c>
      <c r="H4" s="2">
        <v>0.95</v>
      </c>
      <c r="I4" s="2">
        <v>0.99</v>
      </c>
      <c r="J4" s="2">
        <v>0.96825000000000006</v>
      </c>
    </row>
    <row r="5" spans="1:10" ht="29" x14ac:dyDescent="0.35">
      <c r="A5" s="4" t="s">
        <v>13</v>
      </c>
      <c r="B5" s="2">
        <v>0.96799999999999997</v>
      </c>
      <c r="C5" s="2">
        <v>0.96793298174235698</v>
      </c>
      <c r="D5" s="2">
        <v>0.96799999999999997</v>
      </c>
      <c r="E5" s="2">
        <v>0.96791989972801895</v>
      </c>
      <c r="F5" s="2">
        <v>0.93857096060522405</v>
      </c>
      <c r="G5" s="2">
        <v>0.960023232843355</v>
      </c>
      <c r="H5" s="2">
        <v>0.96</v>
      </c>
      <c r="I5" s="2">
        <v>0.99199999999999999</v>
      </c>
      <c r="J5" s="2">
        <v>0.99838899999999997</v>
      </c>
    </row>
    <row r="6" spans="1:10" ht="29" x14ac:dyDescent="0.35">
      <c r="A6" s="4" t="s">
        <v>14</v>
      </c>
      <c r="B6" s="2">
        <v>0.97399999999999998</v>
      </c>
      <c r="C6" s="2">
        <v>0.97430931847898805</v>
      </c>
      <c r="D6" s="2">
        <v>0.97399999999999998</v>
      </c>
      <c r="E6" s="2">
        <v>0.97402964000950698</v>
      </c>
      <c r="F6" s="2">
        <v>0.95003594393451296</v>
      </c>
      <c r="G6" s="2">
        <v>0.96756347424593403</v>
      </c>
      <c r="H6" s="2">
        <v>0.96750000000000003</v>
      </c>
      <c r="I6" s="2">
        <v>0.99349999999999905</v>
      </c>
      <c r="J6" s="2">
        <v>0.99471949999999998</v>
      </c>
    </row>
    <row r="7" spans="1:10" x14ac:dyDescent="0.35">
      <c r="A7" s="4" t="s">
        <v>15</v>
      </c>
      <c r="B7" s="2">
        <v>0.98080000000000001</v>
      </c>
      <c r="C7" s="2">
        <v>0.98081294238530303</v>
      </c>
      <c r="D7" s="2">
        <v>0.98080000000000001</v>
      </c>
      <c r="E7" s="2">
        <v>0.98078816067185004</v>
      </c>
      <c r="F7" s="2">
        <v>0.96268219864938698</v>
      </c>
      <c r="G7" s="2">
        <v>0.97600917452936098</v>
      </c>
      <c r="H7" s="2">
        <v>0.97599999999999998</v>
      </c>
      <c r="I7" s="2">
        <v>0.99519999999999997</v>
      </c>
      <c r="J7" s="2">
        <v>0.99917099999999903</v>
      </c>
    </row>
    <row r="8" spans="1:10" ht="29" x14ac:dyDescent="0.35">
      <c r="A8" s="4" t="s">
        <v>16</v>
      </c>
      <c r="B8" s="2">
        <v>0.98040000000000005</v>
      </c>
      <c r="C8" s="2">
        <v>0.98042809976379397</v>
      </c>
      <c r="D8" s="2">
        <v>0.98040000000000005</v>
      </c>
      <c r="E8" s="2">
        <v>0.98038001608634195</v>
      </c>
      <c r="F8" s="2">
        <v>0.96197207165041598</v>
      </c>
      <c r="G8" s="2">
        <v>0.97551697414302596</v>
      </c>
      <c r="H8" s="2">
        <v>0.97550000000000003</v>
      </c>
      <c r="I8" s="2">
        <v>0.99509999999999998</v>
      </c>
      <c r="J8" s="2">
        <v>0.99930099999999999</v>
      </c>
    </row>
    <row r="9" spans="1:10" x14ac:dyDescent="0.35">
      <c r="A9" s="4" t="s">
        <v>17</v>
      </c>
      <c r="B9" s="2">
        <v>0.2</v>
      </c>
      <c r="C9" s="2">
        <v>0.04</v>
      </c>
      <c r="D9" s="2">
        <v>0.2</v>
      </c>
      <c r="E9" s="2">
        <v>6.6666666666666596E-2</v>
      </c>
      <c r="F9" s="2">
        <v>0.04</v>
      </c>
      <c r="G9" s="2">
        <v>0</v>
      </c>
      <c r="H9" s="2">
        <v>0</v>
      </c>
      <c r="I9" s="2">
        <v>0.8</v>
      </c>
      <c r="J9" s="2">
        <v>0.99913099999999899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A16A-BF98-434E-A9B8-8FCB76DDBA59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0.97199999999999998</v>
      </c>
      <c r="C2" s="2">
        <v>0.97207376614970398</v>
      </c>
      <c r="D2" s="2">
        <v>0.97199999999999998</v>
      </c>
      <c r="E2" s="2">
        <v>0.97196973442876899</v>
      </c>
      <c r="F2" s="2">
        <v>0.94573415473693201</v>
      </c>
      <c r="G2" s="2">
        <v>0.96503300469315001</v>
      </c>
      <c r="H2" s="2">
        <v>0.96499999999999997</v>
      </c>
      <c r="I2" s="2">
        <v>0.99299999999999999</v>
      </c>
      <c r="J2" s="2">
        <v>0.99861250000000001</v>
      </c>
    </row>
    <row r="3" spans="1:10" ht="58" x14ac:dyDescent="0.35">
      <c r="A3" s="4" t="s">
        <v>11</v>
      </c>
      <c r="B3" s="2">
        <v>0.90159999999999996</v>
      </c>
      <c r="C3" s="2">
        <v>0.90316746591748798</v>
      </c>
      <c r="D3" s="2">
        <v>0.90159999999999996</v>
      </c>
      <c r="E3" s="2">
        <v>0.90093693917543205</v>
      </c>
      <c r="F3" s="2">
        <v>0.821092830042077</v>
      </c>
      <c r="G3" s="2">
        <v>0.87769330045320404</v>
      </c>
      <c r="H3" s="2">
        <v>0.877</v>
      </c>
      <c r="I3" s="2">
        <v>0.97540000000000004</v>
      </c>
      <c r="J3" s="2">
        <v>0.98633749999999898</v>
      </c>
    </row>
    <row r="4" spans="1:10" ht="29" x14ac:dyDescent="0.35">
      <c r="A4" s="4" t="s">
        <v>12</v>
      </c>
      <c r="B4" s="2">
        <v>0.96319999999999995</v>
      </c>
      <c r="C4" s="2">
        <v>0.96327940241160304</v>
      </c>
      <c r="D4" s="2">
        <v>0.96319999999999995</v>
      </c>
      <c r="E4" s="2">
        <v>0.96314982110079495</v>
      </c>
      <c r="F4" s="2">
        <v>0.92932843110623298</v>
      </c>
      <c r="G4" s="2">
        <v>0.95404426868112402</v>
      </c>
      <c r="H4" s="2">
        <v>0.95399999999999996</v>
      </c>
      <c r="I4" s="2">
        <v>0.99079999999999901</v>
      </c>
      <c r="J4" s="2">
        <v>0.97124999999999995</v>
      </c>
    </row>
    <row r="5" spans="1:10" ht="29" x14ac:dyDescent="0.35">
      <c r="A5" s="4" t="s">
        <v>13</v>
      </c>
      <c r="B5" s="2">
        <v>0.97319999999999995</v>
      </c>
      <c r="C5" s="2">
        <v>0.97325146541816698</v>
      </c>
      <c r="D5" s="2">
        <v>0.97319999999999995</v>
      </c>
      <c r="E5" s="2">
        <v>0.97317368881561395</v>
      </c>
      <c r="F5" s="2">
        <v>0.94792935225677</v>
      </c>
      <c r="G5" s="2">
        <v>0.96652570992582998</v>
      </c>
      <c r="H5" s="2">
        <v>0.96650000000000003</v>
      </c>
      <c r="I5" s="2">
        <v>0.99329999999999996</v>
      </c>
      <c r="J5" s="2">
        <v>0.99860850000000001</v>
      </c>
    </row>
    <row r="6" spans="1:10" ht="29" x14ac:dyDescent="0.35">
      <c r="A6" s="4" t="s">
        <v>14</v>
      </c>
      <c r="B6" s="2">
        <v>0.97319999999999995</v>
      </c>
      <c r="C6" s="2">
        <v>0.973410875453528</v>
      </c>
      <c r="D6" s="2">
        <v>0.97319999999999995</v>
      </c>
      <c r="E6" s="2">
        <v>0.97321725999248199</v>
      </c>
      <c r="F6" s="2">
        <v>0.94804788649845595</v>
      </c>
      <c r="G6" s="2">
        <v>0.96654368876212005</v>
      </c>
      <c r="H6" s="2">
        <v>0.96650000000000003</v>
      </c>
      <c r="I6" s="2">
        <v>0.99329999999999996</v>
      </c>
      <c r="J6" s="2">
        <v>0.99803549999999996</v>
      </c>
    </row>
    <row r="7" spans="1:10" x14ac:dyDescent="0.35">
      <c r="A7" s="4" t="s">
        <v>15</v>
      </c>
      <c r="B7" s="2">
        <v>0.98640000000000005</v>
      </c>
      <c r="C7" s="2">
        <v>0.98640848570151796</v>
      </c>
      <c r="D7" s="2">
        <v>0.98640000000000005</v>
      </c>
      <c r="E7" s="2">
        <v>0.98639351271776099</v>
      </c>
      <c r="F7" s="2">
        <v>0.97329550328015202</v>
      </c>
      <c r="G7" s="2">
        <v>0.98300530824299603</v>
      </c>
      <c r="H7" s="2">
        <v>0.98299999999999998</v>
      </c>
      <c r="I7" s="2">
        <v>0.99660000000000004</v>
      </c>
      <c r="J7" s="2">
        <v>0.99912799999999902</v>
      </c>
    </row>
    <row r="8" spans="1:10" ht="29" x14ac:dyDescent="0.35">
      <c r="A8" s="4" t="s">
        <v>16</v>
      </c>
      <c r="B8" s="2">
        <v>0.98319999999999996</v>
      </c>
      <c r="C8" s="2">
        <v>0.98319251612914704</v>
      </c>
      <c r="D8" s="2">
        <v>0.98319999999999996</v>
      </c>
      <c r="E8" s="2">
        <v>0.98319152788066599</v>
      </c>
      <c r="F8" s="2">
        <v>0.96708832090567998</v>
      </c>
      <c r="G8" s="2">
        <v>0.979002349608458</v>
      </c>
      <c r="H8" s="2">
        <v>0.97899999999999998</v>
      </c>
      <c r="I8" s="2">
        <v>0.99580000000000002</v>
      </c>
      <c r="J8" s="2">
        <v>0.99924199999999996</v>
      </c>
    </row>
    <row r="9" spans="1:10" x14ac:dyDescent="0.35">
      <c r="A9" s="4" t="s">
        <v>17</v>
      </c>
      <c r="B9" s="2">
        <v>0.2</v>
      </c>
      <c r="C9" s="2">
        <v>0.04</v>
      </c>
      <c r="D9" s="2">
        <v>0.2</v>
      </c>
      <c r="E9" s="2">
        <v>6.6666666666666596E-2</v>
      </c>
      <c r="F9" s="2">
        <v>0.04</v>
      </c>
      <c r="G9" s="2">
        <v>0</v>
      </c>
      <c r="H9" s="2">
        <v>0</v>
      </c>
      <c r="I9" s="2">
        <v>0.8</v>
      </c>
      <c r="J9" s="2">
        <v>0.99897199999999997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3531-1E5E-4C0D-AE81-BD2A27F3DAF6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0.96919999999999995</v>
      </c>
      <c r="C2" s="2">
        <v>0.96919479459020297</v>
      </c>
      <c r="D2" s="2">
        <v>0.96919999999999995</v>
      </c>
      <c r="E2" s="2">
        <v>0.96911537315406904</v>
      </c>
      <c r="F2" s="2">
        <v>0.94033567196733703</v>
      </c>
      <c r="G2" s="2">
        <v>0.96154057786859704</v>
      </c>
      <c r="H2" s="2">
        <v>0.96150000000000002</v>
      </c>
      <c r="I2" s="2">
        <v>0.99229999999999996</v>
      </c>
      <c r="J2" s="2">
        <v>0.99806449999999902</v>
      </c>
    </row>
    <row r="3" spans="1:10" ht="58" x14ac:dyDescent="0.35">
      <c r="A3" s="4" t="s">
        <v>11</v>
      </c>
      <c r="B3" s="2">
        <v>0.88400000000000001</v>
      </c>
      <c r="C3" s="2">
        <v>0.88676953793924096</v>
      </c>
      <c r="D3" s="2">
        <v>0.88400000000000001</v>
      </c>
      <c r="E3" s="2">
        <v>0.88296833775766703</v>
      </c>
      <c r="F3" s="2">
        <v>0.79192803901708397</v>
      </c>
      <c r="G3" s="2">
        <v>0.85611332879385404</v>
      </c>
      <c r="H3" s="2">
        <v>0.85499999999999998</v>
      </c>
      <c r="I3" s="2">
        <v>0.97099999999999997</v>
      </c>
      <c r="J3" s="2">
        <v>0.97967749999999998</v>
      </c>
    </row>
    <row r="4" spans="1:10" ht="29" x14ac:dyDescent="0.35">
      <c r="A4" s="4" t="s">
        <v>12</v>
      </c>
      <c r="B4" s="2">
        <v>0.96640000000000004</v>
      </c>
      <c r="C4" s="2">
        <v>0.96635728183674496</v>
      </c>
      <c r="D4" s="2">
        <v>0.96640000000000004</v>
      </c>
      <c r="E4" s="2">
        <v>0.96630515830283203</v>
      </c>
      <c r="F4" s="2">
        <v>0.93527591831519896</v>
      </c>
      <c r="G4" s="2">
        <v>0.95803640607515905</v>
      </c>
      <c r="H4" s="2">
        <v>0.95799999999999996</v>
      </c>
      <c r="I4" s="2">
        <v>0.99160000000000004</v>
      </c>
      <c r="J4" s="2">
        <v>0.97</v>
      </c>
    </row>
    <row r="5" spans="1:10" ht="29" x14ac:dyDescent="0.35">
      <c r="A5" s="4" t="s">
        <v>13</v>
      </c>
      <c r="B5" s="2">
        <v>0.96919999999999995</v>
      </c>
      <c r="C5" s="2">
        <v>0.96921614105644605</v>
      </c>
      <c r="D5" s="2">
        <v>0.96919999999999995</v>
      </c>
      <c r="E5" s="2">
        <v>0.96909865953391505</v>
      </c>
      <c r="F5" s="2">
        <v>0.94028845890707902</v>
      </c>
      <c r="G5" s="2">
        <v>0.96155442552076997</v>
      </c>
      <c r="H5" s="2">
        <v>0.96150000000000002</v>
      </c>
      <c r="I5" s="2">
        <v>0.99229999999999996</v>
      </c>
      <c r="J5" s="2">
        <v>0.99820949999999997</v>
      </c>
    </row>
    <row r="6" spans="1:10" ht="29" x14ac:dyDescent="0.35">
      <c r="A6" s="4" t="s">
        <v>14</v>
      </c>
      <c r="B6" s="2">
        <v>0.9748</v>
      </c>
      <c r="C6" s="2">
        <v>0.97479253788945297</v>
      </c>
      <c r="D6" s="2">
        <v>0.9748</v>
      </c>
      <c r="E6" s="2">
        <v>0.97477556208559002</v>
      </c>
      <c r="F6" s="2">
        <v>0.95094636967308499</v>
      </c>
      <c r="G6" s="2">
        <v>0.968510266263233</v>
      </c>
      <c r="H6" s="2">
        <v>0.96850000000000003</v>
      </c>
      <c r="I6" s="2">
        <v>0.99369999999999903</v>
      </c>
      <c r="J6" s="2">
        <v>0.99428399999999995</v>
      </c>
    </row>
    <row r="7" spans="1:10" x14ac:dyDescent="0.35">
      <c r="A7" s="4" t="s">
        <v>15</v>
      </c>
      <c r="B7" s="2">
        <v>0.98119999999999996</v>
      </c>
      <c r="C7" s="2">
        <v>0.98121573754992197</v>
      </c>
      <c r="D7" s="2">
        <v>0.98119999999999996</v>
      </c>
      <c r="E7" s="2">
        <v>0.98118854041518599</v>
      </c>
      <c r="F7" s="2">
        <v>0.96322983139976004</v>
      </c>
      <c r="G7" s="2">
        <v>0.97650956984067605</v>
      </c>
      <c r="H7" s="2">
        <v>0.97650000000000003</v>
      </c>
      <c r="I7" s="2">
        <v>0.99529999999999996</v>
      </c>
      <c r="J7" s="2">
        <v>0.99878299999999998</v>
      </c>
    </row>
    <row r="8" spans="1:10" ht="29" x14ac:dyDescent="0.35">
      <c r="A8" s="4" t="s">
        <v>16</v>
      </c>
      <c r="B8" s="2">
        <v>0.98360000000000003</v>
      </c>
      <c r="C8" s="2">
        <v>0.98363327408921997</v>
      </c>
      <c r="D8" s="2">
        <v>0.98360000000000003</v>
      </c>
      <c r="E8" s="2">
        <v>0.983595689303428</v>
      </c>
      <c r="F8" s="2">
        <v>0.967833307379942</v>
      </c>
      <c r="G8" s="2">
        <v>0.97951038286508696</v>
      </c>
      <c r="H8" s="2">
        <v>0.97950000000000004</v>
      </c>
      <c r="I8" s="2">
        <v>0.99590000000000001</v>
      </c>
      <c r="J8" s="2">
        <v>0.99861</v>
      </c>
    </row>
    <row r="9" spans="1:10" x14ac:dyDescent="0.35">
      <c r="A9" s="4" t="s">
        <v>17</v>
      </c>
      <c r="B9" s="2">
        <v>0.2</v>
      </c>
      <c r="C9" s="2">
        <v>0.04</v>
      </c>
      <c r="D9" s="2">
        <v>0.2</v>
      </c>
      <c r="E9" s="2">
        <v>6.6666666666666596E-2</v>
      </c>
      <c r="F9" s="2">
        <v>0.04</v>
      </c>
      <c r="G9" s="2">
        <v>0</v>
      </c>
      <c r="H9" s="2">
        <v>0</v>
      </c>
      <c r="I9" s="2">
        <v>0.8</v>
      </c>
      <c r="J9" s="2">
        <v>0.99904799999999905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7484-DF25-4FFA-8F07-56CF4CEEB14E}">
  <dimension ref="A1:J9"/>
  <sheetViews>
    <sheetView workbookViewId="0">
      <selection sqref="A1:J9"/>
    </sheetView>
  </sheetViews>
  <sheetFormatPr defaultRowHeight="14.5" x14ac:dyDescent="0.35"/>
  <cols>
    <col min="1" max="1" width="8.453125" bestFit="1" customWidth="1"/>
  </cols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0.96599999999999997</v>
      </c>
      <c r="C2" s="2">
        <v>0.96602113444604398</v>
      </c>
      <c r="D2" s="2">
        <v>0.96599999999999997</v>
      </c>
      <c r="E2" s="2">
        <v>0.96599686542194896</v>
      </c>
      <c r="F2" s="2">
        <v>0.93459567405726096</v>
      </c>
      <c r="G2" s="2">
        <v>0.95750670257037696</v>
      </c>
      <c r="H2" s="2">
        <v>0.95750000000000002</v>
      </c>
      <c r="I2" s="2">
        <v>0.99149999999999905</v>
      </c>
      <c r="J2" s="2">
        <v>0.99812699999999999</v>
      </c>
    </row>
    <row r="3" spans="1:10" ht="58" x14ac:dyDescent="0.35">
      <c r="A3" s="4" t="s">
        <v>11</v>
      </c>
      <c r="B3" s="2">
        <v>0.88439999999999996</v>
      </c>
      <c r="C3" s="2">
        <v>0.88582414029890599</v>
      </c>
      <c r="D3" s="2">
        <v>0.88439999999999996</v>
      </c>
      <c r="E3" s="2">
        <v>0.88344738937989997</v>
      </c>
      <c r="F3" s="2">
        <v>0.79290331448447104</v>
      </c>
      <c r="G3" s="2">
        <v>0.85629895713502002</v>
      </c>
      <c r="H3" s="2">
        <v>0.85550000000000004</v>
      </c>
      <c r="I3" s="2">
        <v>0.97109999999999996</v>
      </c>
      <c r="J3" s="2">
        <v>0.98657700000000004</v>
      </c>
    </row>
    <row r="4" spans="1:10" ht="29" x14ac:dyDescent="0.35">
      <c r="A4" s="4" t="s">
        <v>12</v>
      </c>
      <c r="B4" s="2">
        <v>0.95960000000000001</v>
      </c>
      <c r="C4" s="2">
        <v>0.959684731198443</v>
      </c>
      <c r="D4" s="2">
        <v>0.95960000000000001</v>
      </c>
      <c r="E4" s="2">
        <v>0.95963818597534101</v>
      </c>
      <c r="F4" s="2">
        <v>0.92304159423025101</v>
      </c>
      <c r="G4" s="2">
        <v>0.94950208890689303</v>
      </c>
      <c r="H4" s="2">
        <v>0.94950000000000001</v>
      </c>
      <c r="I4" s="2">
        <v>0.9899</v>
      </c>
      <c r="J4" s="2">
        <v>0.96575</v>
      </c>
    </row>
    <row r="5" spans="1:10" ht="29" x14ac:dyDescent="0.35">
      <c r="A5" s="4" t="s">
        <v>13</v>
      </c>
      <c r="B5" s="2">
        <v>0.97</v>
      </c>
      <c r="C5" s="2">
        <v>0.97004278121284604</v>
      </c>
      <c r="D5" s="2">
        <v>0.97</v>
      </c>
      <c r="E5" s="2">
        <v>0.96999539850406602</v>
      </c>
      <c r="F5" s="2">
        <v>0.94196996834289404</v>
      </c>
      <c r="G5" s="2">
        <v>0.96251270525156396</v>
      </c>
      <c r="H5" s="2">
        <v>0.96250000000000002</v>
      </c>
      <c r="I5" s="2">
        <v>0.99250000000000005</v>
      </c>
      <c r="J5" s="2">
        <v>0.99853650000000005</v>
      </c>
    </row>
    <row r="6" spans="1:10" ht="29" x14ac:dyDescent="0.35">
      <c r="A6" s="4" t="s">
        <v>14</v>
      </c>
      <c r="B6" s="2">
        <v>0.97319999999999995</v>
      </c>
      <c r="C6" s="2">
        <v>0.97349041908448697</v>
      </c>
      <c r="D6" s="2">
        <v>0.97319999999999995</v>
      </c>
      <c r="E6" s="2">
        <v>0.97327542762954</v>
      </c>
      <c r="F6" s="2">
        <v>0.94826742717118695</v>
      </c>
      <c r="G6" s="2">
        <v>0.96653576248482997</v>
      </c>
      <c r="H6" s="2">
        <v>0.96650000000000003</v>
      </c>
      <c r="I6" s="2">
        <v>0.99329999999999996</v>
      </c>
      <c r="J6" s="2">
        <v>0.99496499999999999</v>
      </c>
    </row>
    <row r="7" spans="1:10" x14ac:dyDescent="0.35">
      <c r="A7" s="4" t="s">
        <v>15</v>
      </c>
      <c r="B7" s="2">
        <v>0.98160000000000003</v>
      </c>
      <c r="C7" s="2">
        <v>0.98166050911462299</v>
      </c>
      <c r="D7" s="2">
        <v>0.98160000000000003</v>
      </c>
      <c r="E7" s="2">
        <v>0.98160710041140198</v>
      </c>
      <c r="F7" s="2">
        <v>0.96397457560989197</v>
      </c>
      <c r="G7" s="2">
        <v>0.97701152880405995</v>
      </c>
      <c r="H7" s="2">
        <v>0.97699999999999998</v>
      </c>
      <c r="I7" s="2">
        <v>0.99539999999999995</v>
      </c>
      <c r="J7" s="2">
        <v>0.99939999999999996</v>
      </c>
    </row>
    <row r="8" spans="1:10" ht="29" x14ac:dyDescent="0.35">
      <c r="A8" s="4" t="s">
        <v>16</v>
      </c>
      <c r="B8" s="2">
        <v>0.98040000000000005</v>
      </c>
      <c r="C8" s="2">
        <v>0.98046919445969405</v>
      </c>
      <c r="D8" s="2">
        <v>0.98040000000000005</v>
      </c>
      <c r="E8" s="2">
        <v>0.98041753530607501</v>
      </c>
      <c r="F8" s="2">
        <v>0.96172034931157502</v>
      </c>
      <c r="G8" s="2">
        <v>0.97550858451331501</v>
      </c>
      <c r="H8" s="2">
        <v>0.97550000000000003</v>
      </c>
      <c r="I8" s="2">
        <v>0.99509999999999998</v>
      </c>
      <c r="J8" s="2">
        <v>0.99952099999999999</v>
      </c>
    </row>
    <row r="9" spans="1:10" x14ac:dyDescent="0.35">
      <c r="A9" s="4" t="s">
        <v>17</v>
      </c>
      <c r="B9" s="2">
        <v>0.2</v>
      </c>
      <c r="C9" s="2">
        <v>0.04</v>
      </c>
      <c r="D9" s="2">
        <v>0.2</v>
      </c>
      <c r="E9" s="2">
        <v>6.6666666666666596E-2</v>
      </c>
      <c r="F9" s="2">
        <v>0.04</v>
      </c>
      <c r="G9" s="2">
        <v>0</v>
      </c>
      <c r="H9" s="2">
        <v>0</v>
      </c>
      <c r="I9" s="2">
        <v>0.8</v>
      </c>
      <c r="J9" s="2">
        <v>0.99916000000000005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9CF2-288C-4751-8FC8-FDCD30D31C27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0.96840000000000004</v>
      </c>
      <c r="C2" s="2">
        <v>0.96844513977545499</v>
      </c>
      <c r="D2" s="2">
        <v>0.96840000000000004</v>
      </c>
      <c r="E2" s="2">
        <v>0.96839381927357904</v>
      </c>
      <c r="F2" s="2">
        <v>0.93898204378427796</v>
      </c>
      <c r="G2" s="2">
        <v>0.96051421571558904</v>
      </c>
      <c r="H2" s="2">
        <v>0.96050000000000002</v>
      </c>
      <c r="I2" s="2">
        <v>0.99209999999999998</v>
      </c>
      <c r="J2" s="2">
        <v>0.9990135</v>
      </c>
    </row>
    <row r="3" spans="1:10" ht="58" x14ac:dyDescent="0.35">
      <c r="A3" s="4" t="s">
        <v>11</v>
      </c>
      <c r="B3" s="2">
        <v>0.89280000000000004</v>
      </c>
      <c r="C3" s="2">
        <v>0.89579671192352395</v>
      </c>
      <c r="D3" s="2">
        <v>0.89280000000000004</v>
      </c>
      <c r="E3" s="2">
        <v>0.89197048460517703</v>
      </c>
      <c r="F3" s="2">
        <v>0.80678431903333203</v>
      </c>
      <c r="G3" s="2">
        <v>0.867089749518413</v>
      </c>
      <c r="H3" s="2">
        <v>0.86599999999999999</v>
      </c>
      <c r="I3" s="2">
        <v>0.97319999999999995</v>
      </c>
      <c r="J3" s="2">
        <v>0.97736799999999902</v>
      </c>
    </row>
    <row r="4" spans="1:10" ht="29" x14ac:dyDescent="0.35">
      <c r="A4" s="4" t="s">
        <v>12</v>
      </c>
      <c r="B4" s="2">
        <v>0.96</v>
      </c>
      <c r="C4" s="2">
        <v>0.96011657647551296</v>
      </c>
      <c r="D4" s="2">
        <v>0.96</v>
      </c>
      <c r="E4" s="2">
        <v>0.96003384246964096</v>
      </c>
      <c r="F4" s="2">
        <v>0.92357362970924906</v>
      </c>
      <c r="G4" s="2">
        <v>0.95001235024082997</v>
      </c>
      <c r="H4" s="2">
        <v>0.95</v>
      </c>
      <c r="I4" s="2">
        <v>0.99</v>
      </c>
      <c r="J4" s="2">
        <v>0.97124999999999995</v>
      </c>
    </row>
    <row r="5" spans="1:10" ht="29" x14ac:dyDescent="0.35">
      <c r="A5" s="4" t="s">
        <v>13</v>
      </c>
      <c r="B5" s="2">
        <v>0.97319999999999995</v>
      </c>
      <c r="C5" s="2">
        <v>0.97323217830139797</v>
      </c>
      <c r="D5" s="2">
        <v>0.97319999999999995</v>
      </c>
      <c r="E5" s="2">
        <v>0.97318514702248804</v>
      </c>
      <c r="F5" s="2">
        <v>0.94807403298715298</v>
      </c>
      <c r="G5" s="2">
        <v>0.96651527106192503</v>
      </c>
      <c r="H5" s="2">
        <v>0.96650000000000003</v>
      </c>
      <c r="I5" s="2">
        <v>0.99329999999999996</v>
      </c>
      <c r="J5" s="2">
        <v>0.99922999999999995</v>
      </c>
    </row>
    <row r="6" spans="1:10" ht="29" x14ac:dyDescent="0.35">
      <c r="A6" s="4" t="s">
        <v>14</v>
      </c>
      <c r="B6" s="2">
        <v>0.97</v>
      </c>
      <c r="C6" s="2">
        <v>0.97004374961770101</v>
      </c>
      <c r="D6" s="2">
        <v>0.97</v>
      </c>
      <c r="E6" s="2">
        <v>0.97001533700349996</v>
      </c>
      <c r="F6" s="2">
        <v>0.94204185858226497</v>
      </c>
      <c r="G6" s="2">
        <v>0.96250327251668899</v>
      </c>
      <c r="H6" s="2">
        <v>0.96250000000000002</v>
      </c>
      <c r="I6" s="2">
        <v>0.99250000000000005</v>
      </c>
      <c r="J6" s="2">
        <v>0.99918600000000002</v>
      </c>
    </row>
    <row r="7" spans="1:10" x14ac:dyDescent="0.35">
      <c r="A7" s="4" t="s">
        <v>15</v>
      </c>
      <c r="B7" s="2">
        <v>0.98319999999999996</v>
      </c>
      <c r="C7" s="2">
        <v>0.98326544094641199</v>
      </c>
      <c r="D7" s="2">
        <v>0.98319999999999996</v>
      </c>
      <c r="E7" s="2">
        <v>0.983199320952865</v>
      </c>
      <c r="F7" s="2">
        <v>0.96704379958622499</v>
      </c>
      <c r="G7" s="2">
        <v>0.97901664342440797</v>
      </c>
      <c r="H7" s="2">
        <v>0.97899999999999998</v>
      </c>
      <c r="I7" s="2">
        <v>0.99580000000000002</v>
      </c>
      <c r="J7" s="2">
        <v>0.99964399999999998</v>
      </c>
    </row>
    <row r="8" spans="1:10" ht="29" x14ac:dyDescent="0.35">
      <c r="A8" s="4" t="s">
        <v>16</v>
      </c>
      <c r="B8" s="2">
        <v>0.98319999999999996</v>
      </c>
      <c r="C8" s="2">
        <v>0.98321528526063096</v>
      </c>
      <c r="D8" s="2">
        <v>0.98319999999999996</v>
      </c>
      <c r="E8" s="2">
        <v>0.98318844131626704</v>
      </c>
      <c r="F8" s="2">
        <v>0.96702638602228197</v>
      </c>
      <c r="G8" s="2">
        <v>0.97900959434103696</v>
      </c>
      <c r="H8" s="2">
        <v>0.97899999999999998</v>
      </c>
      <c r="I8" s="2">
        <v>0.99580000000000002</v>
      </c>
      <c r="J8" s="2">
        <v>0.99973500000000004</v>
      </c>
    </row>
    <row r="9" spans="1:10" x14ac:dyDescent="0.35">
      <c r="A9" s="4" t="s">
        <v>17</v>
      </c>
      <c r="B9" s="2">
        <v>0.2</v>
      </c>
      <c r="C9" s="2">
        <v>0.04</v>
      </c>
      <c r="D9" s="2">
        <v>0.2</v>
      </c>
      <c r="E9" s="2">
        <v>6.6666666666666596E-2</v>
      </c>
      <c r="F9" s="2">
        <v>0.04</v>
      </c>
      <c r="G9" s="2">
        <v>0</v>
      </c>
      <c r="H9" s="2">
        <v>0</v>
      </c>
      <c r="I9" s="2">
        <v>0.8</v>
      </c>
      <c r="J9" s="2">
        <v>0.99964900000000001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D1DB-29A8-4AAC-A332-40835AD4DE08}">
  <dimension ref="A1:U29"/>
  <sheetViews>
    <sheetView tabSelected="1" topLeftCell="A5" workbookViewId="0">
      <selection activeCell="L12" sqref="L12:S21"/>
    </sheetView>
  </sheetViews>
  <sheetFormatPr defaultRowHeight="14.5" x14ac:dyDescent="0.35"/>
  <cols>
    <col min="1" max="1" width="18" bestFit="1" customWidth="1"/>
    <col min="2" max="5" width="11.36328125" bestFit="1" customWidth="1"/>
    <col min="6" max="6" width="12" bestFit="1" customWidth="1"/>
    <col min="7" max="7" width="17.453125" bestFit="1" customWidth="1"/>
    <col min="8" max="8" width="13.36328125" bestFit="1" customWidth="1"/>
    <col min="9" max="10" width="11.36328125" bestFit="1" customWidth="1"/>
    <col min="13" max="13" width="11.36328125" bestFit="1" customWidth="1"/>
  </cols>
  <sheetData>
    <row r="1" spans="1:21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1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</row>
    <row r="2" spans="1:21" ht="29" x14ac:dyDescent="0.35">
      <c r="A2" s="4" t="s">
        <v>10</v>
      </c>
      <c r="B2" s="2">
        <f>AVERAGE('fold 1'!B2,'fold 2'!B2,'fold 3'!B2,'fold 4'!B2,'fold 5'!B2)</f>
        <v>0.96863999999999995</v>
      </c>
      <c r="C2" s="2">
        <f>AVERAGE('fold 1'!C2,'fold 2'!C2,'fold 3'!C2,'fold 4'!C2,'fold 5'!C2)</f>
        <v>0.96867568806984505</v>
      </c>
      <c r="D2" s="2">
        <f>AVERAGE('fold 1'!D2,'fold 2'!D2,'fold 3'!D2,'fold 4'!D2,'fold 5'!D2)</f>
        <v>0.96863999999999995</v>
      </c>
      <c r="E2" s="2">
        <f>AVERAGE('fold 1'!E2,'fold 2'!E2,'fold 3'!E2,'fold 4'!E2,'fold 5'!E2)</f>
        <v>0.96861211417345738</v>
      </c>
      <c r="F2" s="2">
        <f>AVERAGE('fold 1'!F2,'fold 2'!F2,'fold 3'!F2,'fold 4'!F2,'fold 5'!F2)</f>
        <v>0.93951074122643841</v>
      </c>
      <c r="G2" s="2">
        <f>AVERAGE('fold 1'!G2,'fold 2'!G2,'fold 3'!G2,'fold 4'!G2,'fold 5'!G2)</f>
        <v>0.96082258475565896</v>
      </c>
      <c r="H2" s="2">
        <f>AVERAGE('fold 1'!H2,'fold 2'!H2,'fold 3'!H2,'fold 4'!H2,'fold 5'!H2)</f>
        <v>0.9608000000000001</v>
      </c>
      <c r="I2" s="2">
        <f>AVERAGE('fold 1'!I2,'fold 2'!I2,'fold 3'!I2,'fold 4'!I2,'fold 5'!I2)</f>
        <v>0.99215999999999982</v>
      </c>
      <c r="J2" s="2">
        <f>AVERAGE('fold 1'!J2,'fold 2'!J2,'fold 3'!J2,'fold 4'!J2,'fold 5'!J2)</f>
        <v>0.99838709999999986</v>
      </c>
      <c r="L2" s="4" t="s">
        <v>10</v>
      </c>
      <c r="M2" s="2">
        <f>_xlfn.STDEV.P('fold 1'!B2,'fold 2'!B2,'fold 3'!B2,'fold 4'!B2,'fold 5'!B2)</f>
        <v>1.9855477833585315E-3</v>
      </c>
      <c r="N2" s="2">
        <f>_xlfn.STDEV.P('fold 1'!C2,'fold 2'!C2,'fold 3'!C2,'fold 4'!C2,'fold 5'!C2)</f>
        <v>1.9990702006940841E-3</v>
      </c>
      <c r="O2" s="2">
        <f>_xlfn.STDEV.P('fold 1'!D2,'fold 2'!D2,'fold 3'!D2,'fold 4'!D2,'fold 5'!D2)</f>
        <v>1.9855477833585315E-3</v>
      </c>
      <c r="P2" s="2">
        <f>_xlfn.STDEV.P('fold 1'!E2,'fold 2'!E2,'fold 3'!E2,'fold 4'!E2,'fold 5'!E2)</f>
        <v>1.9732957446505109E-3</v>
      </c>
      <c r="Q2" s="2">
        <f>_xlfn.STDEV.P('fold 1'!F2,'fold 2'!F2,'fold 3'!F2,'fold 4'!F2,'fold 5'!F2)</f>
        <v>3.6448173763310582E-3</v>
      </c>
      <c r="R2" s="2">
        <f>_xlfn.STDEV.P('fold 1'!G2,'fold 2'!G2,'fold 3'!G2,'fold 4'!G2,'fold 5'!G2)</f>
        <v>2.4913512140114233E-3</v>
      </c>
      <c r="S2" s="2">
        <f>_xlfn.STDEV.P('fold 1'!H2,'fold 2'!H2,'fold 3'!H2,'fold 4'!H2,'fold 5'!H2)</f>
        <v>2.4819347291981549E-3</v>
      </c>
      <c r="T2" s="2">
        <f>_xlfn.STDEV.P('fold 1'!I2,'fold 2'!I2,'fold 3'!I2,'fold 4'!I2,'fold 5'!I2)</f>
        <v>4.963869458398829E-4</v>
      </c>
      <c r="U2" s="2">
        <f>_xlfn.STDEV.P('fold 1'!J2,'fold 2'!J2,'fold 3'!J2,'fold 4'!J2,'fold 5'!J2)</f>
        <v>3.7076129787254493E-4</v>
      </c>
    </row>
    <row r="3" spans="1:21" ht="58" x14ac:dyDescent="0.35">
      <c r="A3" s="4" t="s">
        <v>11</v>
      </c>
      <c r="B3" s="2">
        <f>AVERAGE('fold 1'!B3,'fold 2'!B3,'fold 3'!B3,'fold 4'!B3,'fold 5'!B3)</f>
        <v>0.89039999999999997</v>
      </c>
      <c r="C3" s="2">
        <f>AVERAGE('fold 1'!C3,'fold 2'!C3,'fold 3'!C3,'fold 4'!C3,'fold 5'!C3)</f>
        <v>0.89262164716797199</v>
      </c>
      <c r="D3" s="2">
        <f>AVERAGE('fold 1'!D3,'fold 2'!D3,'fold 3'!D3,'fold 4'!D3,'fold 5'!D3)</f>
        <v>0.89039999999999997</v>
      </c>
      <c r="E3" s="2">
        <f>AVERAGE('fold 1'!E3,'fold 2'!E3,'fold 3'!E3,'fold 4'!E3,'fold 5'!E3)</f>
        <v>0.88954878977297613</v>
      </c>
      <c r="F3" s="2">
        <f>AVERAGE('fold 1'!F3,'fold 2'!F3,'fold 3'!F3,'fold 4'!F3,'fold 5'!F3)</f>
        <v>0.80272927373132652</v>
      </c>
      <c r="G3" s="2">
        <f>AVERAGE('fold 1'!G3,'fold 2'!G3,'fold 3'!G3,'fold 4'!G3,'fold 5'!G3)</f>
        <v>0.86392192694879566</v>
      </c>
      <c r="H3" s="2">
        <f>AVERAGE('fold 1'!H3,'fold 2'!H3,'fold 3'!H3,'fold 4'!H3,'fold 5'!H3)</f>
        <v>0.86299999999999977</v>
      </c>
      <c r="I3" s="2">
        <f>AVERAGE('fold 1'!I3,'fold 2'!I3,'fold 3'!I3,'fold 4'!I3,'fold 5'!I3)</f>
        <v>0.97260000000000013</v>
      </c>
      <c r="J3" s="2">
        <f>AVERAGE('fold 1'!J3,'fold 2'!J3,'fold 3'!J3,'fold 4'!J3,'fold 5'!J3)</f>
        <v>0.98263929999999955</v>
      </c>
      <c r="L3" s="4" t="s">
        <v>11</v>
      </c>
      <c r="M3" s="2">
        <f>_xlfn.STDEV.P('fold 1'!B3,'fold 2'!B3,'fold 3'!B3,'fold 4'!B3,'fold 5'!B3)</f>
        <v>6.4745656224954509E-3</v>
      </c>
      <c r="N3" s="2">
        <f>_xlfn.STDEV.P('fold 1'!C3,'fold 2'!C3,'fold 3'!C3,'fold 4'!C3,'fold 5'!C3)</f>
        <v>6.3701840666886651E-3</v>
      </c>
      <c r="O3" s="2">
        <f>_xlfn.STDEV.P('fold 1'!D3,'fold 2'!D3,'fold 3'!D3,'fold 4'!D3,'fold 5'!D3)</f>
        <v>6.4745656224954509E-3</v>
      </c>
      <c r="P3" s="2">
        <f>_xlfn.STDEV.P('fold 1'!E3,'fold 2'!E3,'fold 3'!E3,'fold 4'!E3,'fold 5'!E3)</f>
        <v>6.5932746600686305E-3</v>
      </c>
      <c r="Q3" s="2">
        <f>_xlfn.STDEV.P('fold 1'!F3,'fold 2'!F3,'fold 3'!F3,'fold 4'!F3,'fold 5'!F3)</f>
        <v>1.067791066292335E-2</v>
      </c>
      <c r="R3" s="2">
        <f>_xlfn.STDEV.P('fold 1'!G3,'fold 2'!G3,'fold 3'!G3,'fold 4'!G3,'fold 5'!G3)</f>
        <v>8.0130224567451086E-3</v>
      </c>
      <c r="S3" s="2">
        <f>_xlfn.STDEV.P('fold 1'!H3,'fold 2'!H3,'fold 3'!H3,'fold 4'!H3,'fold 5'!H3)</f>
        <v>8.0932070281193539E-3</v>
      </c>
      <c r="T3" s="2">
        <f>_xlfn.STDEV.P('fold 1'!I3,'fold 2'!I3,'fold 3'!I3,'fold 4'!I3,'fold 5'!I3)</f>
        <v>1.6186414056238866E-3</v>
      </c>
      <c r="U3" s="2">
        <f>_xlfn.STDEV.P('fold 1'!J3,'fold 2'!J3,'fold 3'!J3,'fold 4'!J3,'fold 5'!J3)</f>
        <v>3.6358678551345397E-3</v>
      </c>
    </row>
    <row r="4" spans="1:21" ht="29" x14ac:dyDescent="0.35">
      <c r="A4" s="4" t="s">
        <v>12</v>
      </c>
      <c r="B4" s="2">
        <f>AVERAGE('fold 1'!B4,'fold 2'!B4,'fold 3'!B4,'fold 4'!B4,'fold 5'!B4)</f>
        <v>0.96184000000000014</v>
      </c>
      <c r="C4" s="2">
        <f>AVERAGE('fold 1'!C4,'fold 2'!C4,'fold 3'!C4,'fold 4'!C4,'fold 5'!C4)</f>
        <v>0.9619245288903342</v>
      </c>
      <c r="D4" s="2">
        <f>AVERAGE('fold 1'!D4,'fold 2'!D4,'fold 3'!D4,'fold 4'!D4,'fold 5'!D4)</f>
        <v>0.96184000000000014</v>
      </c>
      <c r="E4" s="2">
        <f>AVERAGE('fold 1'!E4,'fold 2'!E4,'fold 3'!E4,'fold 4'!E4,'fold 5'!E4)</f>
        <v>0.96183636683649054</v>
      </c>
      <c r="F4" s="2">
        <f>AVERAGE('fold 1'!F4,'fold 2'!F4,'fold 3'!F4,'fold 4'!F4,'fold 5'!F4)</f>
        <v>0.92697436222650487</v>
      </c>
      <c r="G4" s="2">
        <f>AVERAGE('fold 1'!G4,'fold 2'!G4,'fold 3'!G4,'fold 4'!G4,'fold 5'!G4)</f>
        <v>0.95232274689029028</v>
      </c>
      <c r="H4" s="2">
        <f>AVERAGE('fold 1'!H4,'fold 2'!H4,'fold 3'!H4,'fold 4'!H4,'fold 5'!H4)</f>
        <v>0.95229999999999992</v>
      </c>
      <c r="I4" s="2">
        <f>AVERAGE('fold 1'!I4,'fold 2'!I4,'fold 3'!I4,'fold 4'!I4,'fold 5'!I4)</f>
        <v>0.9904599999999999</v>
      </c>
      <c r="J4" s="2">
        <f>AVERAGE('fold 1'!J4,'fold 2'!J4,'fold 3'!J4,'fold 4'!J4,'fold 5'!J4)</f>
        <v>0.96929999999999994</v>
      </c>
      <c r="L4" s="4" t="s">
        <v>12</v>
      </c>
      <c r="M4" s="2">
        <f>_xlfn.STDEV.P('fold 1'!B4,'fold 2'!B4,'fold 3'!B4,'fold 4'!B4,'fold 5'!B4)</f>
        <v>2.6241951146970914E-3</v>
      </c>
      <c r="N4" s="2">
        <f>_xlfn.STDEV.P('fold 1'!C4,'fold 2'!C4,'fold 3'!C4,'fold 4'!C4,'fold 5'!C4)</f>
        <v>2.5611535029693247E-3</v>
      </c>
      <c r="O4" s="2">
        <f>_xlfn.STDEV.P('fold 1'!D4,'fold 2'!D4,'fold 3'!D4,'fold 4'!D4,'fold 5'!D4)</f>
        <v>2.6241951146970914E-3</v>
      </c>
      <c r="P4" s="2">
        <f>_xlfn.STDEV.P('fold 1'!E4,'fold 2'!E4,'fold 3'!E4,'fold 4'!E4,'fold 5'!E4)</f>
        <v>2.5671088417925218E-3</v>
      </c>
      <c r="Q4" s="2">
        <f>_xlfn.STDEV.P('fold 1'!F4,'fold 2'!F4,'fold 3'!F4,'fold 4'!F4,'fold 5'!F4)</f>
        <v>4.7439567966929917E-3</v>
      </c>
      <c r="R4" s="2">
        <f>_xlfn.STDEV.P('fold 1'!G4,'fold 2'!G4,'fold 3'!G4,'fold 4'!G4,'fold 5'!G4)</f>
        <v>3.2927976220255102E-3</v>
      </c>
      <c r="S4" s="2">
        <f>_xlfn.STDEV.P('fold 1'!H4,'fold 2'!H4,'fold 3'!H4,'fold 4'!H4,'fold 5'!H4)</f>
        <v>3.2802438933713382E-3</v>
      </c>
      <c r="T4" s="2">
        <f>_xlfn.STDEV.P('fold 1'!I4,'fold 2'!I4,'fold 3'!I4,'fold 4'!I4,'fold 5'!I4)</f>
        <v>6.5604877867418189E-4</v>
      </c>
      <c r="U4" s="2">
        <f>_xlfn.STDEV.P('fold 1'!J4,'fold 2'!J4,'fold 3'!J4,'fold 4'!J4,'fold 5'!J4)</f>
        <v>2.0880613017820837E-3</v>
      </c>
    </row>
    <row r="5" spans="1:21" ht="29" x14ac:dyDescent="0.35">
      <c r="A5" s="4" t="s">
        <v>13</v>
      </c>
      <c r="B5" s="2">
        <f>AVERAGE('fold 1'!B5,'fold 2'!B5,'fold 3'!B5,'fold 4'!B5,'fold 5'!B5)</f>
        <v>0.97072000000000003</v>
      </c>
      <c r="C5" s="2">
        <f>AVERAGE('fold 1'!C5,'fold 2'!C5,'fold 3'!C5,'fold 4'!C5,'fold 5'!C5)</f>
        <v>0.97073510954624287</v>
      </c>
      <c r="D5" s="2">
        <f>AVERAGE('fold 1'!D5,'fold 2'!D5,'fold 3'!D5,'fold 4'!D5,'fold 5'!D5)</f>
        <v>0.97072000000000003</v>
      </c>
      <c r="E5" s="2">
        <f>AVERAGE('fold 1'!E5,'fold 2'!E5,'fold 3'!E5,'fold 4'!E5,'fold 5'!E5)</f>
        <v>0.97067455872082054</v>
      </c>
      <c r="F5" s="2">
        <f>AVERAGE('fold 1'!F5,'fold 2'!F5,'fold 3'!F5,'fold 4'!F5,'fold 5'!F5)</f>
        <v>0.94336655461982399</v>
      </c>
      <c r="G5" s="2">
        <f>AVERAGE('fold 1'!G5,'fold 2'!G5,'fold 3'!G5,'fold 4'!G5,'fold 5'!G5)</f>
        <v>0.96342626892068883</v>
      </c>
      <c r="H5" s="2">
        <f>AVERAGE('fold 1'!H5,'fold 2'!H5,'fold 3'!H5,'fold 4'!H5,'fold 5'!H5)</f>
        <v>0.96340000000000003</v>
      </c>
      <c r="I5" s="2">
        <f>AVERAGE('fold 1'!I5,'fold 2'!I5,'fold 3'!I5,'fold 4'!I5,'fold 5'!I5)</f>
        <v>0.99268000000000001</v>
      </c>
      <c r="J5" s="2">
        <f>AVERAGE('fold 1'!J5,'fold 2'!J5,'fold 3'!J5,'fold 4'!J5,'fold 5'!J5)</f>
        <v>0.99859469999999995</v>
      </c>
      <c r="L5" s="4" t="s">
        <v>13</v>
      </c>
      <c r="M5" s="2">
        <f>_xlfn.STDEV.P('fold 1'!B5,'fold 2'!B5,'fold 3'!B5,'fold 4'!B5,'fold 5'!B5)</f>
        <v>2.1226398658274505E-3</v>
      </c>
      <c r="N5" s="2">
        <f>_xlfn.STDEV.P('fold 1'!C5,'fold 2'!C5,'fold 3'!C5,'fold 4'!C5,'fold 5'!C5)</f>
        <v>2.1543399576514763E-3</v>
      </c>
      <c r="O5" s="2">
        <f>_xlfn.STDEV.P('fold 1'!D5,'fold 2'!D5,'fold 3'!D5,'fold 4'!D5,'fold 5'!D5)</f>
        <v>2.1226398658274505E-3</v>
      </c>
      <c r="P5" s="2">
        <f>_xlfn.STDEV.P('fold 1'!E5,'fold 2'!E5,'fold 3'!E5,'fold 4'!E5,'fold 5'!E5)</f>
        <v>2.1485608143641589E-3</v>
      </c>
      <c r="Q5" s="2">
        <f>_xlfn.STDEV.P('fold 1'!F5,'fold 2'!F5,'fold 3'!F5,'fold 4'!F5,'fold 5'!F5)</f>
        <v>3.9345221629363157E-3</v>
      </c>
      <c r="R5" s="2">
        <f>_xlfn.STDEV.P('fold 1'!G5,'fold 2'!G5,'fold 3'!G5,'fold 4'!G5,'fold 5'!G5)</f>
        <v>2.6483020827659559E-3</v>
      </c>
      <c r="S5" s="2">
        <f>_xlfn.STDEV.P('fold 1'!H5,'fold 2'!H5,'fold 3'!H5,'fold 4'!H5,'fold 5'!H5)</f>
        <v>2.6532998322843365E-3</v>
      </c>
      <c r="T5" s="2">
        <f>_xlfn.STDEV.P('fold 1'!I5,'fold 2'!I5,'fold 3'!I5,'fold 4'!I5,'fold 5'!I5)</f>
        <v>5.3065996645684994E-4</v>
      </c>
      <c r="U5" s="2">
        <f>_xlfn.STDEV.P('fold 1'!J5,'fold 2'!J5,'fold 3'!J5,'fold 4'!J5,'fold 5'!J5)</f>
        <v>3.4579626949982176E-4</v>
      </c>
    </row>
    <row r="6" spans="1:21" ht="29" x14ac:dyDescent="0.35">
      <c r="A6" s="4" t="s">
        <v>14</v>
      </c>
      <c r="B6" s="2">
        <f>AVERAGE('fold 1'!B6,'fold 2'!B6,'fold 3'!B6,'fold 4'!B6,'fold 5'!B6)</f>
        <v>0.97303999999999991</v>
      </c>
      <c r="C6" s="2">
        <f>AVERAGE('fold 1'!C6,'fold 2'!C6,'fold 3'!C6,'fold 4'!C6,'fold 5'!C6)</f>
        <v>0.97320938010483149</v>
      </c>
      <c r="D6" s="2">
        <f>AVERAGE('fold 1'!D6,'fold 2'!D6,'fold 3'!D6,'fold 4'!D6,'fold 5'!D6)</f>
        <v>0.97303999999999991</v>
      </c>
      <c r="E6" s="2">
        <f>AVERAGE('fold 1'!E6,'fold 2'!E6,'fold 3'!E6,'fold 4'!E6,'fold 5'!E6)</f>
        <v>0.97306264534412379</v>
      </c>
      <c r="F6" s="2">
        <f>AVERAGE('fold 1'!F6,'fold 2'!F6,'fold 3'!F6,'fold 4'!F6,'fold 5'!F6)</f>
        <v>0.94786789717190112</v>
      </c>
      <c r="G6" s="2">
        <f>AVERAGE('fold 1'!G6,'fold 2'!G6,'fold 3'!G6,'fold 4'!G6,'fold 5'!G6)</f>
        <v>0.9663312928545611</v>
      </c>
      <c r="H6" s="2">
        <f>AVERAGE('fold 1'!H6,'fold 2'!H6,'fold 3'!H6,'fold 4'!H6,'fold 5'!H6)</f>
        <v>0.96630000000000005</v>
      </c>
      <c r="I6" s="2">
        <f>AVERAGE('fold 1'!I6,'fold 2'!I6,'fold 3'!I6,'fold 4'!I6,'fold 5'!I6)</f>
        <v>0.99325999999999959</v>
      </c>
      <c r="J6" s="2">
        <f>AVERAGE('fold 1'!J6,'fold 2'!J6,'fold 3'!J6,'fold 4'!J6,'fold 5'!J6)</f>
        <v>0.99623799999999996</v>
      </c>
      <c r="L6" s="4" t="s">
        <v>14</v>
      </c>
      <c r="M6" s="2">
        <f>_xlfn.STDEV.P('fold 1'!B6,'fold 2'!B6,'fold 3'!B6,'fold 4'!B6,'fold 5'!B6)</f>
        <v>1.6316862443496965E-3</v>
      </c>
      <c r="N6" s="2">
        <f>_xlfn.STDEV.P('fold 1'!C6,'fold 2'!C6,'fold 3'!C6,'fold 4'!C6,'fold 5'!C6)</f>
        <v>1.6647553972059584E-3</v>
      </c>
      <c r="O6" s="2">
        <f>_xlfn.STDEV.P('fold 1'!D6,'fold 2'!D6,'fold 3'!D6,'fold 4'!D6,'fold 5'!D6)</f>
        <v>1.6316862443496965E-3</v>
      </c>
      <c r="P6" s="2">
        <f>_xlfn.STDEV.P('fold 1'!E6,'fold 2'!E6,'fold 3'!E6,'fold 4'!E6,'fold 5'!E6)</f>
        <v>1.6263107058237241E-3</v>
      </c>
      <c r="Q6" s="2">
        <f>_xlfn.STDEV.P('fold 1'!F6,'fold 2'!F6,'fold 3'!F6,'fold 4'!F6,'fold 5'!F6)</f>
        <v>3.1084454549291851E-3</v>
      </c>
      <c r="R6" s="2">
        <f>_xlfn.STDEV.P('fold 1'!G6,'fold 2'!G6,'fold 3'!G6,'fold 4'!G6,'fold 5'!G6)</f>
        <v>2.0497246476225799E-3</v>
      </c>
      <c r="S6" s="2">
        <f>_xlfn.STDEV.P('fold 1'!H6,'fold 2'!H6,'fold 3'!H6,'fold 4'!H6,'fold 5'!H6)</f>
        <v>2.039607805437116E-3</v>
      </c>
      <c r="T6" s="2">
        <f>_xlfn.STDEV.P('fold 1'!I6,'fold 2'!I6,'fold 3'!I6,'fold 4'!I6,'fold 5'!I6)</f>
        <v>4.0792156108708174E-4</v>
      </c>
      <c r="U6" s="2">
        <f>_xlfn.STDEV.P('fold 1'!J6,'fold 2'!J6,'fold 3'!J6,'fold 4'!J6,'fold 5'!J6)</f>
        <v>1.9832396476472673E-3</v>
      </c>
    </row>
    <row r="7" spans="1:21" x14ac:dyDescent="0.35">
      <c r="A7" s="4" t="s">
        <v>15</v>
      </c>
      <c r="B7" s="2">
        <f>AVERAGE('fold 1'!B7,'fold 2'!B7,'fold 3'!B7,'fold 4'!B7,'fold 5'!B7)</f>
        <v>0.98263999999999996</v>
      </c>
      <c r="C7" s="2">
        <f>AVERAGE('fold 1'!C7,'fold 2'!C7,'fold 3'!C7,'fold 4'!C7,'fold 5'!C7)</f>
        <v>0.98267262313955561</v>
      </c>
      <c r="D7" s="2">
        <f>AVERAGE('fold 1'!D7,'fold 2'!D7,'fold 3'!D7,'fold 4'!D7,'fold 5'!D7)</f>
        <v>0.98263999999999996</v>
      </c>
      <c r="E7" s="2">
        <f>AVERAGE('fold 1'!E7,'fold 2'!E7,'fold 3'!E7,'fold 4'!E7,'fold 5'!E7)</f>
        <v>0.98263532703381284</v>
      </c>
      <c r="F7" s="2">
        <f>AVERAGE('fold 1'!F7,'fold 2'!F7,'fold 3'!F7,'fold 4'!F7,'fold 5'!F7)</f>
        <v>0.96604518170508324</v>
      </c>
      <c r="G7" s="2">
        <f>AVERAGE('fold 1'!G7,'fold 2'!G7,'fold 3'!G7,'fold 4'!G7,'fold 5'!G7)</f>
        <v>0.97831044496830022</v>
      </c>
      <c r="H7" s="2">
        <f>AVERAGE('fold 1'!H7,'fold 2'!H7,'fold 3'!H7,'fold 4'!H7,'fold 5'!H7)</f>
        <v>0.97829999999999995</v>
      </c>
      <c r="I7" s="2">
        <f>AVERAGE('fold 1'!I7,'fold 2'!I7,'fold 3'!I7,'fold 4'!I7,'fold 5'!I7)</f>
        <v>0.99565999999999999</v>
      </c>
      <c r="J7" s="2">
        <f>AVERAGE('fold 1'!J7,'fold 2'!J7,'fold 3'!J7,'fold 4'!J7,'fold 5'!J7)</f>
        <v>0.9992251999999997</v>
      </c>
      <c r="L7" s="4" t="s">
        <v>15</v>
      </c>
      <c r="M7" s="2">
        <f>_xlfn.STDEV.P('fold 1'!B7,'fold 2'!B7,'fold 3'!B7,'fold 4'!B7,'fold 5'!B7)</f>
        <v>2.0489997559785312E-3</v>
      </c>
      <c r="N7" s="2">
        <f>_xlfn.STDEV.P('fold 1'!C7,'fold 2'!C7,'fold 3'!C7,'fold 4'!C7,'fold 5'!C7)</f>
        <v>2.0451603830742844E-3</v>
      </c>
      <c r="O7" s="2">
        <f>_xlfn.STDEV.P('fold 1'!D7,'fold 2'!D7,'fold 3'!D7,'fold 4'!D7,'fold 5'!D7)</f>
        <v>2.0489997559785312E-3</v>
      </c>
      <c r="P7" s="2">
        <f>_xlfn.STDEV.P('fold 1'!E7,'fold 2'!E7,'fold 3'!E7,'fold 4'!E7,'fold 5'!E7)</f>
        <v>2.0496103947530938E-3</v>
      </c>
      <c r="Q7" s="2">
        <f>_xlfn.STDEV.P('fold 1'!F7,'fold 2'!F7,'fold 3'!F7,'fold 4'!F7,'fold 5'!F7)</f>
        <v>3.9265165882871478E-3</v>
      </c>
      <c r="R7" s="2">
        <f>_xlfn.STDEV.P('fold 1'!G7,'fold 2'!G7,'fold 3'!G7,'fold 4'!G7,'fold 5'!G7)</f>
        <v>2.5599467763081371E-3</v>
      </c>
      <c r="S7" s="2">
        <f>_xlfn.STDEV.P('fold 1'!H7,'fold 2'!H7,'fold 3'!H7,'fold 4'!H7,'fold 5'!H7)</f>
        <v>2.561249694973134E-3</v>
      </c>
      <c r="T7" s="2">
        <f>_xlfn.STDEV.P('fold 1'!I7,'fold 2'!I7,'fold 3'!I7,'fold 4'!I7,'fold 5'!I7)</f>
        <v>5.1224993899465904E-4</v>
      </c>
      <c r="U7" s="2">
        <f>_xlfn.STDEV.P('fold 1'!J7,'fold 2'!J7,'fold 3'!J7,'fold 4'!J7,'fold 5'!J7)</f>
        <v>2.877063781011057E-4</v>
      </c>
    </row>
    <row r="8" spans="1:21" ht="29" x14ac:dyDescent="0.35">
      <c r="A8" s="4" t="s">
        <v>16</v>
      </c>
      <c r="B8" s="2">
        <f>AVERAGE('fold 1'!B8,'fold 2'!B8,'fold 3'!B8,'fold 4'!B8,'fold 5'!B8)</f>
        <v>0.98216000000000003</v>
      </c>
      <c r="C8" s="2">
        <f>AVERAGE('fold 1'!C8,'fold 2'!C8,'fold 3'!C8,'fold 4'!C8,'fold 5'!C8)</f>
        <v>0.98218767394049711</v>
      </c>
      <c r="D8" s="2">
        <f>AVERAGE('fold 1'!D8,'fold 2'!D8,'fold 3'!D8,'fold 4'!D8,'fold 5'!D8)</f>
        <v>0.98216000000000003</v>
      </c>
      <c r="E8" s="2">
        <f>AVERAGE('fold 1'!E8,'fold 2'!E8,'fold 3'!E8,'fold 4'!E8,'fold 5'!E8)</f>
        <v>0.98215464197855551</v>
      </c>
      <c r="F8" s="2">
        <f>AVERAGE('fold 1'!F8,'fold 2'!F8,'fold 3'!F8,'fold 4'!F8,'fold 5'!F8)</f>
        <v>0.9651280870539789</v>
      </c>
      <c r="G8" s="2">
        <f>AVERAGE('fold 1'!G8,'fold 2'!G8,'fold 3'!G8,'fold 4'!G8,'fold 5'!G8)</f>
        <v>0.9777095770941846</v>
      </c>
      <c r="H8" s="2">
        <f>AVERAGE('fold 1'!H8,'fold 2'!H8,'fold 3'!H8,'fold 4'!H8,'fold 5'!H8)</f>
        <v>0.97770000000000012</v>
      </c>
      <c r="I8" s="2">
        <f>AVERAGE('fold 1'!I8,'fold 2'!I8,'fold 3'!I8,'fold 4'!I8,'fold 5'!I8)</f>
        <v>0.99553999999999987</v>
      </c>
      <c r="J8" s="2">
        <f>AVERAGE('fold 1'!J8,'fold 2'!J8,'fold 3'!J8,'fold 4'!J8,'fold 5'!J8)</f>
        <v>0.9992818</v>
      </c>
      <c r="L8" s="4" t="s">
        <v>16</v>
      </c>
      <c r="M8" s="2">
        <f>_xlfn.STDEV.P('fold 1'!B8,'fold 2'!B8,'fold 3'!B8,'fold 4'!B8,'fold 5'!B8)</f>
        <v>1.4444376068213944E-3</v>
      </c>
      <c r="N8" s="2">
        <f>_xlfn.STDEV.P('fold 1'!C8,'fold 2'!C8,'fold 3'!C8,'fold 4'!C8,'fold 5'!C8)</f>
        <v>1.4286165089769367E-3</v>
      </c>
      <c r="O8" s="2">
        <f>_xlfn.STDEV.P('fold 1'!D8,'fold 2'!D8,'fold 3'!D8,'fold 4'!D8,'fold 5'!D8)</f>
        <v>1.4444376068213944E-3</v>
      </c>
      <c r="P8" s="2">
        <f>_xlfn.STDEV.P('fold 1'!E8,'fold 2'!E8,'fold 3'!E8,'fold 4'!E8,'fold 5'!E8)</f>
        <v>1.4413415616058168E-3</v>
      </c>
      <c r="Q8" s="2">
        <f>_xlfn.STDEV.P('fold 1'!F8,'fold 2'!F8,'fold 3'!F8,'fold 4'!F8,'fold 5'!F8)</f>
        <v>2.6958257542708331E-3</v>
      </c>
      <c r="R8" s="2">
        <f>_xlfn.STDEV.P('fold 1'!G8,'fold 2'!G8,'fold 3'!G8,'fold 4'!G8,'fold 5'!G8)</f>
        <v>1.8031130348795182E-3</v>
      </c>
      <c r="S8" s="2">
        <f>_xlfn.STDEV.P('fold 1'!H8,'fold 2'!H8,'fold 3'!H8,'fold 4'!H8,'fold 5'!H8)</f>
        <v>1.8055470085267644E-3</v>
      </c>
      <c r="T8" s="2">
        <f>_xlfn.STDEV.P('fold 1'!I8,'fold 2'!I8,'fold 3'!I8,'fold 4'!I8,'fold 5'!I8)</f>
        <v>3.6110940170537011E-4</v>
      </c>
      <c r="U8" s="2">
        <f>_xlfn.STDEV.P('fold 1'!J8,'fold 2'!J8,'fold 3'!J8,'fold 4'!J8,'fold 5'!J8)</f>
        <v>3.7838467199400108E-4</v>
      </c>
    </row>
    <row r="9" spans="1:21" x14ac:dyDescent="0.35">
      <c r="A9" s="4" t="s">
        <v>17</v>
      </c>
      <c r="B9" s="2">
        <f>AVERAGE('fold 1'!B9,'fold 2'!B9,'fold 3'!B9,'fold 4'!B9,'fold 5'!B9)</f>
        <v>0.2</v>
      </c>
      <c r="C9" s="2">
        <f>AVERAGE('fold 1'!C9,'fold 2'!C9,'fold 3'!C9,'fold 4'!C9,'fold 5'!C9)</f>
        <v>0.04</v>
      </c>
      <c r="D9" s="2">
        <f>AVERAGE('fold 1'!D9,'fold 2'!D9,'fold 3'!D9,'fold 4'!D9,'fold 5'!D9)</f>
        <v>0.2</v>
      </c>
      <c r="E9" s="2">
        <f>AVERAGE('fold 1'!E9,'fold 2'!E9,'fold 3'!E9,'fold 4'!E9,'fold 5'!E9)</f>
        <v>6.6666666666666596E-2</v>
      </c>
      <c r="F9" s="2">
        <f>AVERAGE('fold 1'!F9,'fold 2'!F9,'fold 3'!F9,'fold 4'!F9,'fold 5'!F9)</f>
        <v>0.04</v>
      </c>
      <c r="G9" s="2">
        <f>AVERAGE('fold 1'!G9,'fold 2'!G9,'fold 3'!G9,'fold 4'!G9,'fold 5'!G9)</f>
        <v>0</v>
      </c>
      <c r="H9" s="2">
        <f>AVERAGE('fold 1'!H9,'fold 2'!H9,'fold 3'!H9,'fold 4'!H9,'fold 5'!H9)</f>
        <v>0</v>
      </c>
      <c r="I9" s="2">
        <f>AVERAGE('fold 1'!I9,'fold 2'!I9,'fold 3'!I9,'fold 4'!I9,'fold 5'!I9)</f>
        <v>0.8</v>
      </c>
      <c r="J9" s="2">
        <f>AVERAGE('fold 1'!J9,'fold 2'!J9,'fold 3'!J9,'fold 4'!J9,'fold 5'!J9)</f>
        <v>0.99919199999999952</v>
      </c>
      <c r="L9" s="4" t="s">
        <v>17</v>
      </c>
      <c r="M9" s="2">
        <f>_xlfn.STDEV.P('fold 1'!B9,'fold 2'!B9,'fold 3'!B9,'fold 4'!B9,'fold 5'!B9)</f>
        <v>0</v>
      </c>
      <c r="N9" s="2">
        <f>_xlfn.STDEV.P('fold 1'!C9,'fold 2'!C9,'fold 3'!C9,'fold 4'!C9,'fold 5'!C9)</f>
        <v>0</v>
      </c>
      <c r="O9" s="2">
        <f>_xlfn.STDEV.P('fold 1'!D9,'fold 2'!D9,'fold 3'!D9,'fold 4'!D9,'fold 5'!D9)</f>
        <v>0</v>
      </c>
      <c r="P9" s="2">
        <f>_xlfn.STDEV.P('fold 1'!E9,'fold 2'!E9,'fold 3'!E9,'fold 4'!E9,'fold 5'!E9)</f>
        <v>0</v>
      </c>
      <c r="Q9" s="2">
        <f>_xlfn.STDEV.P('fold 1'!F9,'fold 2'!F9,'fold 3'!F9,'fold 4'!F9,'fold 5'!F9)</f>
        <v>0</v>
      </c>
      <c r="R9" s="2">
        <f>_xlfn.STDEV.P('fold 1'!G9,'fold 2'!G9,'fold 3'!G9,'fold 4'!G9,'fold 5'!G9)</f>
        <v>0</v>
      </c>
      <c r="S9" s="2">
        <f>_xlfn.STDEV.P('fold 1'!H9,'fold 2'!H9,'fold 3'!H9,'fold 4'!H9,'fold 5'!H9)</f>
        <v>0</v>
      </c>
      <c r="T9" s="2">
        <f>_xlfn.STDEV.P('fold 1'!I9,'fold 2'!I9,'fold 3'!I9,'fold 4'!I9,'fold 5'!I9)</f>
        <v>0</v>
      </c>
      <c r="U9" s="2">
        <f>_xlfn.STDEV.P('fold 1'!J9,'fold 2'!J9,'fold 3'!J9,'fold 4'!J9,'fold 5'!J9)</f>
        <v>2.3779402852065724E-4</v>
      </c>
    </row>
    <row r="12" spans="1:21" x14ac:dyDescent="0.35">
      <c r="A12" s="5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  <c r="L12" t="s">
        <v>63</v>
      </c>
      <c r="M12" t="s">
        <v>64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</row>
    <row r="13" spans="1:21" x14ac:dyDescent="0.35">
      <c r="A13" s="7" t="s">
        <v>10</v>
      </c>
      <c r="B13" s="8" t="str">
        <f>_xlfn.CONCAT(TEXT(B2*100,"0.00"),"±",TEXT(M2*100,"0.00"),"%")</f>
        <v>96.86±0.20%</v>
      </c>
      <c r="C13" s="8" t="str">
        <f t="shared" ref="C13:J13" si="0">_xlfn.CONCAT(TEXT(C2*100,"0.00"),"±",TEXT(N2*100,"0.00"),"%")</f>
        <v>96.87±0.20%</v>
      </c>
      <c r="D13" s="8" t="str">
        <f t="shared" si="0"/>
        <v>96.86±0.20%</v>
      </c>
      <c r="E13" s="8" t="str">
        <f t="shared" si="0"/>
        <v>96.86±0.20%</v>
      </c>
      <c r="F13" s="8" t="str">
        <f t="shared" si="0"/>
        <v>93.95±0.36%</v>
      </c>
      <c r="G13" s="8" t="str">
        <f t="shared" si="0"/>
        <v>96.08±0.25%</v>
      </c>
      <c r="H13" s="8" t="str">
        <f t="shared" si="0"/>
        <v>96.08±0.25%</v>
      </c>
      <c r="I13" s="8" t="str">
        <f t="shared" si="0"/>
        <v>99.22±0.05%</v>
      </c>
      <c r="J13" s="8" t="str">
        <f t="shared" si="0"/>
        <v>99.84±0.04%</v>
      </c>
      <c r="L13" t="s">
        <v>1</v>
      </c>
      <c r="M13" t="s">
        <v>18</v>
      </c>
      <c r="N13" t="s">
        <v>24</v>
      </c>
      <c r="O13" t="s">
        <v>32</v>
      </c>
      <c r="P13" t="s">
        <v>38</v>
      </c>
      <c r="Q13" t="s">
        <v>45</v>
      </c>
      <c r="R13" t="s">
        <v>52</v>
      </c>
      <c r="S13" t="s">
        <v>58</v>
      </c>
    </row>
    <row r="14" spans="1:21" x14ac:dyDescent="0.35">
      <c r="A14" s="7" t="s">
        <v>11</v>
      </c>
      <c r="B14" s="8" t="str">
        <f t="shared" ref="B14:B20" si="1">_xlfn.CONCAT(TEXT(B3*100,"0.00"),"±",TEXT(M3*100,"0.00"),"%")</f>
        <v>89.04±0.65%</v>
      </c>
      <c r="C14" s="8" t="str">
        <f t="shared" ref="C14:C20" si="2">_xlfn.CONCAT(TEXT(C3*100,"0.00"),"±",TEXT(N3*100,"0.00"),"%")</f>
        <v>89.26±0.64%</v>
      </c>
      <c r="D14" s="8" t="str">
        <f t="shared" ref="D14:D20" si="3">_xlfn.CONCAT(TEXT(D3*100,"0.00"),"±",TEXT(O3*100,"0.00"),"%")</f>
        <v>89.04±0.65%</v>
      </c>
      <c r="E14" s="8" t="str">
        <f t="shared" ref="E14:E20" si="4">_xlfn.CONCAT(TEXT(E3*100,"0.00"),"±",TEXT(P3*100,"0.00"),"%")</f>
        <v>88.95±0.66%</v>
      </c>
      <c r="F14" s="8" t="str">
        <f t="shared" ref="F14:F20" si="5">_xlfn.CONCAT(TEXT(F3*100,"0.00"),"±",TEXT(Q3*100,"0.00"),"%")</f>
        <v>80.27±1.07%</v>
      </c>
      <c r="G14" s="8" t="str">
        <f t="shared" ref="G14:G20" si="6">_xlfn.CONCAT(TEXT(G3*100,"0.00"),"±",TEXT(R3*100,"0.00"),"%")</f>
        <v>86.39±0.80%</v>
      </c>
      <c r="H14" s="8" t="str">
        <f t="shared" ref="H14:H20" si="7">_xlfn.CONCAT(TEXT(H3*100,"0.00"),"±",TEXT(S3*100,"0.00"),"%")</f>
        <v>86.30±0.81%</v>
      </c>
      <c r="I14" s="8" t="str">
        <f t="shared" ref="I14:I20" si="8">_xlfn.CONCAT(TEXT(I3*100,"0.00"),"±",TEXT(T3*100,"0.00"),"%")</f>
        <v>97.26±0.16%</v>
      </c>
      <c r="J14" s="8" t="str">
        <f t="shared" ref="J14:J20" si="9">_xlfn.CONCAT(TEXT(J3*100,"0.00"),"±",TEXT(U3*100,"0.00"),"%")</f>
        <v>98.26±0.36%</v>
      </c>
      <c r="L14" t="s">
        <v>2</v>
      </c>
      <c r="M14" t="s">
        <v>19</v>
      </c>
      <c r="N14" t="s">
        <v>25</v>
      </c>
      <c r="O14" t="s">
        <v>33</v>
      </c>
      <c r="P14" t="s">
        <v>39</v>
      </c>
      <c r="Q14" t="s">
        <v>46</v>
      </c>
      <c r="R14" t="s">
        <v>53</v>
      </c>
      <c r="S14" t="s">
        <v>58</v>
      </c>
    </row>
    <row r="15" spans="1:21" x14ac:dyDescent="0.35">
      <c r="A15" s="7" t="s">
        <v>12</v>
      </c>
      <c r="B15" s="8" t="str">
        <f t="shared" si="1"/>
        <v>96.18±0.26%</v>
      </c>
      <c r="C15" s="8" t="str">
        <f t="shared" si="2"/>
        <v>96.19±0.26%</v>
      </c>
      <c r="D15" s="8" t="str">
        <f t="shared" si="3"/>
        <v>96.18±0.26%</v>
      </c>
      <c r="E15" s="8" t="str">
        <f t="shared" si="4"/>
        <v>96.18±0.26%</v>
      </c>
      <c r="F15" s="8" t="str">
        <f t="shared" si="5"/>
        <v>92.70±0.47%</v>
      </c>
      <c r="G15" s="8" t="str">
        <f t="shared" si="6"/>
        <v>95.23±0.33%</v>
      </c>
      <c r="H15" s="8" t="str">
        <f t="shared" si="7"/>
        <v>95.23±0.33%</v>
      </c>
      <c r="I15" s="8" t="str">
        <f t="shared" si="8"/>
        <v>99.05±0.07%</v>
      </c>
      <c r="J15" s="8" t="str">
        <f t="shared" si="9"/>
        <v>96.93±0.21%</v>
      </c>
      <c r="L15" t="s">
        <v>3</v>
      </c>
      <c r="M15" t="s">
        <v>18</v>
      </c>
      <c r="N15" t="s">
        <v>24</v>
      </c>
      <c r="O15" t="s">
        <v>32</v>
      </c>
      <c r="P15" t="s">
        <v>38</v>
      </c>
      <c r="Q15" t="s">
        <v>45</v>
      </c>
      <c r="R15" t="s">
        <v>52</v>
      </c>
      <c r="S15" t="s">
        <v>58</v>
      </c>
    </row>
    <row r="16" spans="1:21" x14ac:dyDescent="0.35">
      <c r="A16" s="7" t="s">
        <v>13</v>
      </c>
      <c r="B16" s="8" t="str">
        <f t="shared" si="1"/>
        <v>97.07±0.21%</v>
      </c>
      <c r="C16" s="8" t="str">
        <f t="shared" si="2"/>
        <v>97.07±0.22%</v>
      </c>
      <c r="D16" s="8" t="str">
        <f t="shared" si="3"/>
        <v>97.07±0.21%</v>
      </c>
      <c r="E16" s="8" t="str">
        <f t="shared" si="4"/>
        <v>97.07±0.21%</v>
      </c>
      <c r="F16" s="8" t="str">
        <f t="shared" si="5"/>
        <v>94.34±0.39%</v>
      </c>
      <c r="G16" s="8" t="str">
        <f t="shared" si="6"/>
        <v>96.34±0.26%</v>
      </c>
      <c r="H16" s="8" t="str">
        <f t="shared" si="7"/>
        <v>96.34±0.27%</v>
      </c>
      <c r="I16" s="8" t="str">
        <f t="shared" si="8"/>
        <v>99.27±0.05%</v>
      </c>
      <c r="J16" s="8" t="str">
        <f t="shared" si="9"/>
        <v>99.86±0.03%</v>
      </c>
      <c r="L16" t="s">
        <v>4</v>
      </c>
      <c r="M16" t="s">
        <v>18</v>
      </c>
      <c r="N16" t="s">
        <v>26</v>
      </c>
      <c r="O16" t="s">
        <v>32</v>
      </c>
      <c r="P16" t="s">
        <v>38</v>
      </c>
      <c r="Q16" t="s">
        <v>47</v>
      </c>
      <c r="R16" t="s">
        <v>52</v>
      </c>
      <c r="S16" t="s">
        <v>58</v>
      </c>
    </row>
    <row r="17" spans="1:19" x14ac:dyDescent="0.35">
      <c r="A17" s="7" t="s">
        <v>14</v>
      </c>
      <c r="B17" s="8" t="str">
        <f t="shared" si="1"/>
        <v>97.30±0.16%</v>
      </c>
      <c r="C17" s="8" t="str">
        <f t="shared" si="2"/>
        <v>97.32±0.17%</v>
      </c>
      <c r="D17" s="8" t="str">
        <f t="shared" si="3"/>
        <v>97.30±0.16%</v>
      </c>
      <c r="E17" s="8" t="str">
        <f t="shared" si="4"/>
        <v>97.31±0.16%</v>
      </c>
      <c r="F17" s="8" t="str">
        <f t="shared" si="5"/>
        <v>94.79±0.31%</v>
      </c>
      <c r="G17" s="8" t="str">
        <f t="shared" si="6"/>
        <v>96.63±0.20%</v>
      </c>
      <c r="H17" s="8" t="str">
        <f t="shared" si="7"/>
        <v>96.63±0.20%</v>
      </c>
      <c r="I17" s="8" t="str">
        <f t="shared" si="8"/>
        <v>99.33±0.04%</v>
      </c>
      <c r="J17" s="8" t="str">
        <f t="shared" si="9"/>
        <v>99.62±0.20%</v>
      </c>
      <c r="L17" t="s">
        <v>5</v>
      </c>
      <c r="M17" t="s">
        <v>20</v>
      </c>
      <c r="N17" t="s">
        <v>27</v>
      </c>
      <c r="O17" t="s">
        <v>34</v>
      </c>
      <c r="P17" t="s">
        <v>40</v>
      </c>
      <c r="Q17" t="s">
        <v>48</v>
      </c>
      <c r="R17" t="s">
        <v>54</v>
      </c>
      <c r="S17" t="s">
        <v>59</v>
      </c>
    </row>
    <row r="18" spans="1:19" x14ac:dyDescent="0.35">
      <c r="A18" s="7" t="s">
        <v>15</v>
      </c>
      <c r="B18" s="8" t="str">
        <f t="shared" si="1"/>
        <v>98.26±0.20%</v>
      </c>
      <c r="C18" s="8" t="str">
        <f t="shared" si="2"/>
        <v>98.27±0.20%</v>
      </c>
      <c r="D18" s="8" t="str">
        <f t="shared" si="3"/>
        <v>98.26±0.20%</v>
      </c>
      <c r="E18" s="8" t="str">
        <f t="shared" si="4"/>
        <v>98.26±0.20%</v>
      </c>
      <c r="F18" s="8" t="str">
        <f t="shared" si="5"/>
        <v>96.60±0.39%</v>
      </c>
      <c r="G18" s="8" t="str">
        <f t="shared" si="6"/>
        <v>97.83±0.26%</v>
      </c>
      <c r="H18" s="8" t="str">
        <f t="shared" si="7"/>
        <v>97.83±0.26%</v>
      </c>
      <c r="I18" s="8" t="str">
        <f t="shared" si="8"/>
        <v>99.57±0.05%</v>
      </c>
      <c r="J18" s="8" t="str">
        <f t="shared" si="9"/>
        <v>99.92±0.03%</v>
      </c>
      <c r="L18" t="s">
        <v>6</v>
      </c>
      <c r="M18" t="s">
        <v>21</v>
      </c>
      <c r="N18" t="s">
        <v>28</v>
      </c>
      <c r="O18" t="s">
        <v>35</v>
      </c>
      <c r="P18" t="s">
        <v>41</v>
      </c>
      <c r="Q18" t="s">
        <v>49</v>
      </c>
      <c r="R18" t="s">
        <v>55</v>
      </c>
      <c r="S18" t="s">
        <v>60</v>
      </c>
    </row>
    <row r="19" spans="1:19" x14ac:dyDescent="0.35">
      <c r="A19" s="7" t="s">
        <v>16</v>
      </c>
      <c r="B19" s="8" t="str">
        <f t="shared" si="1"/>
        <v>98.22±0.14%</v>
      </c>
      <c r="C19" s="8" t="str">
        <f t="shared" si="2"/>
        <v>98.22±0.14%</v>
      </c>
      <c r="D19" s="8" t="str">
        <f t="shared" si="3"/>
        <v>98.22±0.14%</v>
      </c>
      <c r="E19" s="8" t="str">
        <f t="shared" si="4"/>
        <v>98.22±0.14%</v>
      </c>
      <c r="F19" s="8" t="str">
        <f t="shared" si="5"/>
        <v>96.51±0.27%</v>
      </c>
      <c r="G19" s="8" t="str">
        <f t="shared" si="6"/>
        <v>97.77±0.18%</v>
      </c>
      <c r="H19" s="8" t="str">
        <f t="shared" si="7"/>
        <v>97.77±0.18%</v>
      </c>
      <c r="I19" s="8" t="str">
        <f t="shared" si="8"/>
        <v>99.55±0.04%</v>
      </c>
      <c r="J19" s="8" t="str">
        <f t="shared" si="9"/>
        <v>99.93±0.04%</v>
      </c>
      <c r="L19" t="s">
        <v>7</v>
      </c>
      <c r="M19" t="s">
        <v>21</v>
      </c>
      <c r="N19" t="s">
        <v>29</v>
      </c>
      <c r="O19" t="s">
        <v>35</v>
      </c>
      <c r="P19" t="s">
        <v>42</v>
      </c>
      <c r="Q19" t="s">
        <v>49</v>
      </c>
      <c r="R19" t="s">
        <v>55</v>
      </c>
      <c r="S19" t="s">
        <v>60</v>
      </c>
    </row>
    <row r="20" spans="1:19" x14ac:dyDescent="0.35">
      <c r="A20" s="7" t="s">
        <v>17</v>
      </c>
      <c r="B20" s="8" t="str">
        <f t="shared" si="1"/>
        <v>20.00±0.00%</v>
      </c>
      <c r="C20" s="8" t="str">
        <f t="shared" si="2"/>
        <v>4.00±0.00%</v>
      </c>
      <c r="D20" s="8" t="str">
        <f t="shared" si="3"/>
        <v>20.00±0.00%</v>
      </c>
      <c r="E20" s="8" t="str">
        <f t="shared" si="4"/>
        <v>6.67±0.00%</v>
      </c>
      <c r="F20" s="8" t="str">
        <f t="shared" si="5"/>
        <v>4.00±0.00%</v>
      </c>
      <c r="G20" s="8" t="str">
        <f t="shared" si="6"/>
        <v>0.00±0.00%</v>
      </c>
      <c r="H20" s="8" t="str">
        <f t="shared" si="7"/>
        <v>0.00±0.00%</v>
      </c>
      <c r="I20" s="8" t="str">
        <f t="shared" si="8"/>
        <v>80.00±0.00%</v>
      </c>
      <c r="J20" s="8" t="str">
        <f t="shared" si="9"/>
        <v>99.92±0.02%</v>
      </c>
      <c r="L20" t="s">
        <v>8</v>
      </c>
      <c r="M20" t="s">
        <v>22</v>
      </c>
      <c r="N20" t="s">
        <v>30</v>
      </c>
      <c r="O20" t="s">
        <v>36</v>
      </c>
      <c r="P20" t="s">
        <v>43</v>
      </c>
      <c r="Q20" t="s">
        <v>50</v>
      </c>
      <c r="R20" t="s">
        <v>56</v>
      </c>
      <c r="S20" t="s">
        <v>61</v>
      </c>
    </row>
    <row r="21" spans="1:19" x14ac:dyDescent="0.35">
      <c r="L21" t="s">
        <v>9</v>
      </c>
      <c r="M21" t="s">
        <v>23</v>
      </c>
      <c r="N21" t="s">
        <v>31</v>
      </c>
      <c r="O21" t="s">
        <v>37</v>
      </c>
      <c r="P21" t="s">
        <v>44</v>
      </c>
      <c r="Q21" t="s">
        <v>51</v>
      </c>
      <c r="R21" t="s">
        <v>57</v>
      </c>
      <c r="S21" t="s">
        <v>62</v>
      </c>
    </row>
    <row r="22" spans="1:19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</row>
    <row r="23" spans="1:19" x14ac:dyDescent="0.35">
      <c r="A23" t="s">
        <v>10</v>
      </c>
      <c r="B23" t="s">
        <v>18</v>
      </c>
      <c r="C23" t="s">
        <v>19</v>
      </c>
      <c r="D23" t="s">
        <v>18</v>
      </c>
      <c r="E23" t="s">
        <v>18</v>
      </c>
      <c r="F23" t="s">
        <v>20</v>
      </c>
      <c r="G23" t="s">
        <v>21</v>
      </c>
      <c r="H23" t="s">
        <v>21</v>
      </c>
      <c r="I23" t="s">
        <v>22</v>
      </c>
      <c r="J23" t="s">
        <v>23</v>
      </c>
    </row>
    <row r="24" spans="1:19" x14ac:dyDescent="0.35">
      <c r="A24" t="s">
        <v>11</v>
      </c>
      <c r="B24" t="s">
        <v>24</v>
      </c>
      <c r="C24" t="s">
        <v>25</v>
      </c>
      <c r="D24" t="s">
        <v>24</v>
      </c>
      <c r="E24" t="s">
        <v>26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</row>
    <row r="25" spans="1:19" x14ac:dyDescent="0.35">
      <c r="A25" t="s">
        <v>12</v>
      </c>
      <c r="B25" t="s">
        <v>32</v>
      </c>
      <c r="C25" t="s">
        <v>33</v>
      </c>
      <c r="D25" t="s">
        <v>32</v>
      </c>
      <c r="E25" t="s">
        <v>32</v>
      </c>
      <c r="F25" t="s">
        <v>34</v>
      </c>
      <c r="G25" t="s">
        <v>35</v>
      </c>
      <c r="H25" t="s">
        <v>35</v>
      </c>
      <c r="I25" t="s">
        <v>36</v>
      </c>
      <c r="J25" t="s">
        <v>37</v>
      </c>
    </row>
    <row r="26" spans="1:19" x14ac:dyDescent="0.35">
      <c r="A26" t="s">
        <v>13</v>
      </c>
      <c r="B26" t="s">
        <v>38</v>
      </c>
      <c r="C26" t="s">
        <v>39</v>
      </c>
      <c r="D26" t="s">
        <v>38</v>
      </c>
      <c r="E26" t="s">
        <v>38</v>
      </c>
      <c r="F26" t="s">
        <v>40</v>
      </c>
      <c r="G26" t="s">
        <v>41</v>
      </c>
      <c r="H26" t="s">
        <v>42</v>
      </c>
      <c r="I26" t="s">
        <v>43</v>
      </c>
      <c r="J26" t="s">
        <v>44</v>
      </c>
    </row>
    <row r="27" spans="1:19" x14ac:dyDescent="0.35">
      <c r="A27" t="s">
        <v>14</v>
      </c>
      <c r="B27" t="s">
        <v>45</v>
      </c>
      <c r="C27" t="s">
        <v>46</v>
      </c>
      <c r="D27" t="s">
        <v>45</v>
      </c>
      <c r="E27" t="s">
        <v>47</v>
      </c>
      <c r="F27" t="s">
        <v>48</v>
      </c>
      <c r="G27" t="s">
        <v>49</v>
      </c>
      <c r="H27" t="s">
        <v>49</v>
      </c>
      <c r="I27" t="s">
        <v>50</v>
      </c>
      <c r="J27" t="s">
        <v>51</v>
      </c>
    </row>
    <row r="28" spans="1:19" x14ac:dyDescent="0.35">
      <c r="A28" t="s">
        <v>15</v>
      </c>
      <c r="B28" t="s">
        <v>52</v>
      </c>
      <c r="C28" t="s">
        <v>53</v>
      </c>
      <c r="D28" t="s">
        <v>52</v>
      </c>
      <c r="E28" t="s">
        <v>52</v>
      </c>
      <c r="F28" t="s">
        <v>54</v>
      </c>
      <c r="G28" t="s">
        <v>55</v>
      </c>
      <c r="H28" t="s">
        <v>55</v>
      </c>
      <c r="I28" t="s">
        <v>56</v>
      </c>
      <c r="J28" t="s">
        <v>57</v>
      </c>
    </row>
    <row r="29" spans="1:19" x14ac:dyDescent="0.35">
      <c r="A29" t="s">
        <v>16</v>
      </c>
      <c r="B29" t="s">
        <v>58</v>
      </c>
      <c r="C29" t="s">
        <v>58</v>
      </c>
      <c r="D29" t="s">
        <v>58</v>
      </c>
      <c r="E29" t="s">
        <v>58</v>
      </c>
      <c r="F29" t="s">
        <v>59</v>
      </c>
      <c r="G29" t="s">
        <v>60</v>
      </c>
      <c r="H29" t="s">
        <v>60</v>
      </c>
      <c r="I29" t="s">
        <v>61</v>
      </c>
      <c r="J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fold 1</vt:lpstr>
      <vt:lpstr>fold 2</vt:lpstr>
      <vt:lpstr>fold 3</vt:lpstr>
      <vt:lpstr>fold 4</vt:lpstr>
      <vt:lpstr>fold 5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2026-01-19T17:30:50Z</dcterms:created>
  <dcterms:modified xsi:type="dcterms:W3CDTF">2026-01-20T20:10:16Z</dcterms:modified>
</cp:coreProperties>
</file>