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Mustafa Adil\ovr\code\results\LC25000\"/>
    </mc:Choice>
  </mc:AlternateContent>
  <xr:revisionPtr revIDLastSave="0" documentId="13_ncr:1_{56C0B90A-7A83-4AD1-A19B-0BE63FC9000E}" xr6:coauthVersionLast="47" xr6:coauthVersionMax="47" xr10:uidLastSave="{00000000-0000-0000-0000-000000000000}"/>
  <bookViews>
    <workbookView xWindow="-110" yWindow="-110" windowWidth="25820" windowHeight="13900" activeTab="5" xr2:uid="{00000000-000D-0000-FFFF-FFFF00000000}"/>
  </bookViews>
  <sheets>
    <sheet name="Fold1" sheetId="1" r:id="rId1"/>
    <sheet name="Fold2" sheetId="2" r:id="rId2"/>
    <sheet name="Fold3" sheetId="3" r:id="rId3"/>
    <sheet name="Fold4" sheetId="4" r:id="rId4"/>
    <sheet name="Fold5" sheetId="5" r:id="rId5"/>
    <sheet name="Sheet1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7" l="1"/>
  <c r="C15" i="7"/>
  <c r="D15" i="7"/>
  <c r="E15" i="7"/>
  <c r="F15" i="7"/>
  <c r="G15" i="7"/>
  <c r="H15" i="7"/>
  <c r="I15" i="7"/>
  <c r="J15" i="7"/>
  <c r="B16" i="7"/>
  <c r="C16" i="7"/>
  <c r="D16" i="7"/>
  <c r="E16" i="7"/>
  <c r="F16" i="7"/>
  <c r="G16" i="7"/>
  <c r="H16" i="7"/>
  <c r="I16" i="7"/>
  <c r="J16" i="7"/>
  <c r="B17" i="7"/>
  <c r="C17" i="7"/>
  <c r="D17" i="7"/>
  <c r="E17" i="7"/>
  <c r="F17" i="7"/>
  <c r="G17" i="7"/>
  <c r="H17" i="7"/>
  <c r="I17" i="7"/>
  <c r="J17" i="7"/>
  <c r="B18" i="7"/>
  <c r="C18" i="7"/>
  <c r="D18" i="7"/>
  <c r="E18" i="7"/>
  <c r="F18" i="7"/>
  <c r="G18" i="7"/>
  <c r="H18" i="7"/>
  <c r="I18" i="7"/>
  <c r="J18" i="7"/>
  <c r="B19" i="7"/>
  <c r="C19" i="7"/>
  <c r="D19" i="7"/>
  <c r="E19" i="7"/>
  <c r="F19" i="7"/>
  <c r="G19" i="7"/>
  <c r="H19" i="7"/>
  <c r="I19" i="7"/>
  <c r="J19" i="7"/>
  <c r="B20" i="7"/>
  <c r="C20" i="7"/>
  <c r="D20" i="7"/>
  <c r="E20" i="7"/>
  <c r="F20" i="7"/>
  <c r="G20" i="7"/>
  <c r="H20" i="7"/>
  <c r="I20" i="7"/>
  <c r="J20" i="7"/>
  <c r="C14" i="7"/>
  <c r="D14" i="7"/>
  <c r="E14" i="7"/>
  <c r="F14" i="7"/>
  <c r="G14" i="7"/>
  <c r="H14" i="7"/>
  <c r="I14" i="7"/>
  <c r="J14" i="7"/>
  <c r="B14" i="7"/>
  <c r="M3" i="7"/>
  <c r="N3" i="7"/>
  <c r="O3" i="7"/>
  <c r="P3" i="7"/>
  <c r="Q3" i="7"/>
  <c r="R3" i="7"/>
  <c r="S3" i="7"/>
  <c r="T3" i="7"/>
  <c r="U3" i="7"/>
  <c r="M4" i="7"/>
  <c r="N4" i="7"/>
  <c r="O4" i="7"/>
  <c r="P4" i="7"/>
  <c r="Q4" i="7"/>
  <c r="R4" i="7"/>
  <c r="S4" i="7"/>
  <c r="T4" i="7"/>
  <c r="U4" i="7"/>
  <c r="M5" i="7"/>
  <c r="N5" i="7"/>
  <c r="O5" i="7"/>
  <c r="P5" i="7"/>
  <c r="Q5" i="7"/>
  <c r="R5" i="7"/>
  <c r="S5" i="7"/>
  <c r="T5" i="7"/>
  <c r="U5" i="7"/>
  <c r="M6" i="7"/>
  <c r="N6" i="7"/>
  <c r="O6" i="7"/>
  <c r="P6" i="7"/>
  <c r="Q6" i="7"/>
  <c r="R6" i="7"/>
  <c r="S6" i="7"/>
  <c r="T6" i="7"/>
  <c r="U6" i="7"/>
  <c r="M7" i="7"/>
  <c r="N7" i="7"/>
  <c r="O7" i="7"/>
  <c r="P7" i="7"/>
  <c r="Q7" i="7"/>
  <c r="R7" i="7"/>
  <c r="S7" i="7"/>
  <c r="T7" i="7"/>
  <c r="U7" i="7"/>
  <c r="M8" i="7"/>
  <c r="N8" i="7"/>
  <c r="O8" i="7"/>
  <c r="P8" i="7"/>
  <c r="Q8" i="7"/>
  <c r="R8" i="7"/>
  <c r="S8" i="7"/>
  <c r="T8" i="7"/>
  <c r="U8" i="7"/>
  <c r="N2" i="7"/>
  <c r="O2" i="7"/>
  <c r="P2" i="7"/>
  <c r="Q2" i="7"/>
  <c r="R2" i="7"/>
  <c r="S2" i="7"/>
  <c r="T2" i="7"/>
  <c r="U2" i="7"/>
  <c r="M2" i="7"/>
  <c r="B3" i="7"/>
  <c r="C3" i="7"/>
  <c r="D3" i="7"/>
  <c r="E3" i="7"/>
  <c r="F3" i="7"/>
  <c r="G3" i="7"/>
  <c r="H3" i="7"/>
  <c r="I3" i="7"/>
  <c r="J3" i="7"/>
  <c r="B4" i="7"/>
  <c r="C4" i="7"/>
  <c r="D4" i="7"/>
  <c r="E4" i="7"/>
  <c r="F4" i="7"/>
  <c r="G4" i="7"/>
  <c r="H4" i="7"/>
  <c r="I4" i="7"/>
  <c r="J4" i="7"/>
  <c r="B5" i="7"/>
  <c r="C5" i="7"/>
  <c r="D5" i="7"/>
  <c r="E5" i="7"/>
  <c r="F5" i="7"/>
  <c r="G5" i="7"/>
  <c r="H5" i="7"/>
  <c r="I5" i="7"/>
  <c r="J5" i="7"/>
  <c r="B6" i="7"/>
  <c r="C6" i="7"/>
  <c r="D6" i="7"/>
  <c r="E6" i="7"/>
  <c r="F6" i="7"/>
  <c r="G6" i="7"/>
  <c r="H6" i="7"/>
  <c r="I6" i="7"/>
  <c r="J6" i="7"/>
  <c r="B7" i="7"/>
  <c r="C7" i="7"/>
  <c r="D7" i="7"/>
  <c r="E7" i="7"/>
  <c r="F7" i="7"/>
  <c r="G7" i="7"/>
  <c r="H7" i="7"/>
  <c r="I7" i="7"/>
  <c r="J7" i="7"/>
  <c r="B8" i="7"/>
  <c r="C8" i="7"/>
  <c r="D8" i="7"/>
  <c r="E8" i="7"/>
  <c r="F8" i="7"/>
  <c r="G8" i="7"/>
  <c r="H8" i="7"/>
  <c r="I8" i="7"/>
  <c r="J8" i="7"/>
  <c r="C2" i="7"/>
  <c r="D2" i="7"/>
  <c r="E2" i="7"/>
  <c r="F2" i="7"/>
  <c r="G2" i="7"/>
  <c r="H2" i="7"/>
  <c r="I2" i="7"/>
  <c r="J2" i="7"/>
  <c r="B2" i="7"/>
</calcChain>
</file>

<file path=xl/sharedStrings.xml><?xml version="1.0" encoding="utf-8"?>
<sst xmlns="http://schemas.openxmlformats.org/spreadsheetml/2006/main" count="299" uniqueCount="76">
  <si>
    <t>fold</t>
  </si>
  <si>
    <t>model</t>
  </si>
  <si>
    <t>accuracy</t>
  </si>
  <si>
    <t>precision</t>
  </si>
  <si>
    <t>recall</t>
  </si>
  <si>
    <t>f1</t>
  </si>
  <si>
    <t>jaccard</t>
  </si>
  <si>
    <t>mcc</t>
  </si>
  <si>
    <t>kappa</t>
  </si>
  <si>
    <t>specificity</t>
  </si>
  <si>
    <t>auc</t>
  </si>
  <si>
    <t>Bagging Classifier</t>
  </si>
  <si>
    <t>Decision Tree</t>
  </si>
  <si>
    <t>Extra Trees</t>
  </si>
  <si>
    <t>K-Nearest Neighbors</t>
  </si>
  <si>
    <t>LightGBM</t>
  </si>
  <si>
    <t>Random Forest</t>
  </si>
  <si>
    <t>XGBoost</t>
  </si>
  <si>
    <t>98.00±0.12%</t>
  </si>
  <si>
    <t>96.09±0.22%</t>
  </si>
  <si>
    <t>97.50±0.15%</t>
  </si>
  <si>
    <t>99.50±0.03%</t>
  </si>
  <si>
    <t>99.92±0.03%</t>
  </si>
  <si>
    <t>96.62±0.23%</t>
  </si>
  <si>
    <t>96.61±0.23%</t>
  </si>
  <si>
    <t>93.49±0.44%</t>
  </si>
  <si>
    <t>95.77±0.29%</t>
  </si>
  <si>
    <t>99.15±0.06%</t>
  </si>
  <si>
    <t>99.82±0.04%</t>
  </si>
  <si>
    <t>98.30±0.16%</t>
  </si>
  <si>
    <t>98.31±0.16%</t>
  </si>
  <si>
    <t>96.68±0.31%</t>
  </si>
  <si>
    <t>97.88±0.20%</t>
  </si>
  <si>
    <t>99.58±0.04%</t>
  </si>
  <si>
    <t>89.04±0.65%</t>
  </si>
  <si>
    <t>89.26±0.64%</t>
  </si>
  <si>
    <t>88.95±0.66%</t>
  </si>
  <si>
    <t>80.27±1.07%</t>
  </si>
  <si>
    <t>86.39±0.80%</t>
  </si>
  <si>
    <t>86.30±0.81%</t>
  </si>
  <si>
    <t>97.26±0.16%</t>
  </si>
  <si>
    <t>98.08±0.10%</t>
  </si>
  <si>
    <t>96.98±0.18%</t>
  </si>
  <si>
    <t>94.17±0.34%</t>
  </si>
  <si>
    <t>96.23±0.23%</t>
  </si>
  <si>
    <t>96.23±0.22%</t>
  </si>
  <si>
    <t>99.25±0.04%</t>
  </si>
  <si>
    <t>99.87±0.02%</t>
  </si>
  <si>
    <t>95.77±0.60%</t>
  </si>
  <si>
    <t>95.78±0.59%</t>
  </si>
  <si>
    <t>91.97±1.07%</t>
  </si>
  <si>
    <t>94.71±0.75%</t>
  </si>
  <si>
    <t>98.94±0.15%</t>
  </si>
  <si>
    <t>97.36±0.38%</t>
  </si>
  <si>
    <t>97.24±0.22%</t>
  </si>
  <si>
    <t>97.26±0.21%</t>
  </si>
  <si>
    <t>94.66±0.39%</t>
  </si>
  <si>
    <t>96.55±0.27%</t>
  </si>
  <si>
    <t>99.31±0.05%</t>
  </si>
  <si>
    <t>99.59±0.10%</t>
  </si>
  <si>
    <t>Accuracy</t>
  </si>
  <si>
    <t>Precision</t>
  </si>
  <si>
    <t>Recall</t>
  </si>
  <si>
    <t>F1 Score</t>
  </si>
  <si>
    <t>Jaccard Index</t>
  </si>
  <si>
    <t>Matthews CorrCoef</t>
  </si>
  <si>
    <t>Cohen’s Kappa</t>
  </si>
  <si>
    <t>Specificity</t>
  </si>
  <si>
    <t>AUC</t>
  </si>
  <si>
    <t>RF</t>
  </si>
  <si>
    <t>KNN</t>
  </si>
  <si>
    <t>DT</t>
  </si>
  <si>
    <t>ET</t>
  </si>
  <si>
    <t>XGB</t>
  </si>
  <si>
    <t>LGB</t>
  </si>
  <si>
    <t>Bagging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</si>
</sst>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>
      <selection activeCell="B1" sqref="B1:K8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</v>
      </c>
      <c r="B2" t="s">
        <v>11</v>
      </c>
      <c r="C2">
        <v>0.96840000000000004</v>
      </c>
      <c r="D2">
        <v>0.96883363702787717</v>
      </c>
      <c r="E2">
        <v>0.96840000000000004</v>
      </c>
      <c r="F2">
        <v>0.96843876708236565</v>
      </c>
      <c r="G2">
        <v>0.93957456865901678</v>
      </c>
      <c r="H2">
        <v>0.96059010757833441</v>
      </c>
      <c r="I2">
        <v>0.96050000000000002</v>
      </c>
      <c r="J2">
        <v>0.99210000000000009</v>
      </c>
      <c r="K2">
        <v>0.99624450000000009</v>
      </c>
    </row>
    <row r="3" spans="1:11" x14ac:dyDescent="0.35">
      <c r="A3">
        <v>1</v>
      </c>
      <c r="B3" t="s">
        <v>12</v>
      </c>
      <c r="C3">
        <v>0.94720000000000004</v>
      </c>
      <c r="D3">
        <v>0.94753699521389567</v>
      </c>
      <c r="E3">
        <v>0.94720000000000004</v>
      </c>
      <c r="F3">
        <v>0.94732869070655612</v>
      </c>
      <c r="G3">
        <v>0.9013914555382091</v>
      </c>
      <c r="H3">
        <v>0.93401961461786254</v>
      </c>
      <c r="I3">
        <v>0.93399999999999994</v>
      </c>
      <c r="J3">
        <v>0.98680000000000001</v>
      </c>
      <c r="K3">
        <v>0.96699999999999997</v>
      </c>
    </row>
    <row r="4" spans="1:11" x14ac:dyDescent="0.35">
      <c r="A4">
        <v>1</v>
      </c>
      <c r="B4" t="s">
        <v>13</v>
      </c>
      <c r="C4">
        <v>0.97119999999999995</v>
      </c>
      <c r="D4">
        <v>0.97115589257323409</v>
      </c>
      <c r="E4">
        <v>0.97119999999999995</v>
      </c>
      <c r="F4">
        <v>0.97115360309833232</v>
      </c>
      <c r="G4">
        <v>0.94458471835901836</v>
      </c>
      <c r="H4">
        <v>0.96401214662957169</v>
      </c>
      <c r="I4">
        <v>0.96399999999999997</v>
      </c>
      <c r="J4">
        <v>0.99280000000000013</v>
      </c>
      <c r="K4">
        <v>0.99879499999999999</v>
      </c>
    </row>
    <row r="5" spans="1:11" x14ac:dyDescent="0.35">
      <c r="A5">
        <v>1</v>
      </c>
      <c r="B5" t="s">
        <v>14</v>
      </c>
      <c r="C5">
        <v>0.88919999999999999</v>
      </c>
      <c r="D5">
        <v>0.89155037976070128</v>
      </c>
      <c r="E5">
        <v>0.88919999999999999</v>
      </c>
      <c r="F5">
        <v>0.8884207979467057</v>
      </c>
      <c r="G5">
        <v>0.80093786607966944</v>
      </c>
      <c r="H5">
        <v>0.86241429884348697</v>
      </c>
      <c r="I5">
        <v>0.86149999999999993</v>
      </c>
      <c r="J5">
        <v>0.97230000000000005</v>
      </c>
      <c r="K5">
        <v>0.97977700000000001</v>
      </c>
    </row>
    <row r="6" spans="1:11" x14ac:dyDescent="0.35">
      <c r="A6">
        <v>1</v>
      </c>
      <c r="B6" t="s">
        <v>15</v>
      </c>
      <c r="C6">
        <v>0.98199999999999998</v>
      </c>
      <c r="D6">
        <v>0.98200144223979113</v>
      </c>
      <c r="E6">
        <v>0.98199999999999998</v>
      </c>
      <c r="F6">
        <v>0.9819893321712645</v>
      </c>
      <c r="G6">
        <v>0.9649198601228991</v>
      </c>
      <c r="H6">
        <v>0.97750566954932505</v>
      </c>
      <c r="I6">
        <v>0.97750000000000004</v>
      </c>
      <c r="J6">
        <v>0.99550000000000016</v>
      </c>
      <c r="K6">
        <v>0.99939560000000005</v>
      </c>
    </row>
    <row r="7" spans="1:11" x14ac:dyDescent="0.35">
      <c r="A7">
        <v>1</v>
      </c>
      <c r="B7" t="s">
        <v>16</v>
      </c>
      <c r="C7">
        <v>0.96599999999999997</v>
      </c>
      <c r="D7">
        <v>0.96594860654584591</v>
      </c>
      <c r="E7">
        <v>0.96599999999999997</v>
      </c>
      <c r="F7">
        <v>0.96593184182331093</v>
      </c>
      <c r="G7">
        <v>0.93499244436273699</v>
      </c>
      <c r="H7">
        <v>0.95752087418258813</v>
      </c>
      <c r="I7">
        <v>0.95750000000000002</v>
      </c>
      <c r="J7">
        <v>0.99150000000000005</v>
      </c>
      <c r="K7">
        <v>0.99816099999999996</v>
      </c>
    </row>
    <row r="8" spans="1:11" x14ac:dyDescent="0.35">
      <c r="A8">
        <v>1</v>
      </c>
      <c r="B8" t="s">
        <v>17</v>
      </c>
      <c r="C8">
        <v>0.97960000000000003</v>
      </c>
      <c r="D8">
        <v>0.97958087026597063</v>
      </c>
      <c r="E8">
        <v>0.97960000000000003</v>
      </c>
      <c r="F8">
        <v>0.97958260004166697</v>
      </c>
      <c r="G8">
        <v>0.96033925954790667</v>
      </c>
      <c r="H8">
        <v>0.97450389802338822</v>
      </c>
      <c r="I8">
        <v>0.97450000000000003</v>
      </c>
      <c r="J8">
        <v>0.99490000000000001</v>
      </c>
      <c r="K8">
        <v>0.9993934000000001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2</v>
      </c>
      <c r="B2" t="s">
        <v>11</v>
      </c>
      <c r="C2">
        <v>0.97399999999999998</v>
      </c>
      <c r="D2">
        <v>0.97402977532429069</v>
      </c>
      <c r="E2">
        <v>0.97399999999999998</v>
      </c>
      <c r="F2">
        <v>0.97398691156270378</v>
      </c>
      <c r="G2">
        <v>0.94958126706899215</v>
      </c>
      <c r="H2">
        <v>0.96751393230093852</v>
      </c>
      <c r="I2">
        <v>0.96750000000000003</v>
      </c>
      <c r="J2">
        <v>0.99350000000000005</v>
      </c>
      <c r="K2">
        <v>0.99712500000000015</v>
      </c>
    </row>
    <row r="3" spans="1:11" x14ac:dyDescent="0.35">
      <c r="A3">
        <v>2</v>
      </c>
      <c r="B3" t="s">
        <v>12</v>
      </c>
      <c r="C3">
        <v>0.96279999999999999</v>
      </c>
      <c r="D3">
        <v>0.96283221877992986</v>
      </c>
      <c r="E3">
        <v>0.96279999999999999</v>
      </c>
      <c r="F3">
        <v>0.96278195465302485</v>
      </c>
      <c r="G3">
        <v>0.92877951941998094</v>
      </c>
      <c r="H3">
        <v>0.95351697275317382</v>
      </c>
      <c r="I3">
        <v>0.95350000000000001</v>
      </c>
      <c r="J3">
        <v>0.99070000000000003</v>
      </c>
      <c r="K3">
        <v>0.97675000000000001</v>
      </c>
    </row>
    <row r="4" spans="1:11" x14ac:dyDescent="0.35">
      <c r="A4">
        <v>2</v>
      </c>
      <c r="B4" t="s">
        <v>13</v>
      </c>
      <c r="C4">
        <v>0.97240000000000004</v>
      </c>
      <c r="D4">
        <v>0.97246678963007394</v>
      </c>
      <c r="E4">
        <v>0.97240000000000004</v>
      </c>
      <c r="F4">
        <v>0.9723733792597532</v>
      </c>
      <c r="G4">
        <v>0.94640049846018193</v>
      </c>
      <c r="H4">
        <v>0.96552954565615245</v>
      </c>
      <c r="I4">
        <v>0.96550000000000002</v>
      </c>
      <c r="J4">
        <v>0.99310000000000009</v>
      </c>
      <c r="K4">
        <v>0.99898609999999999</v>
      </c>
    </row>
    <row r="5" spans="1:11" x14ac:dyDescent="0.35">
      <c r="A5">
        <v>2</v>
      </c>
      <c r="B5" t="s">
        <v>14</v>
      </c>
      <c r="C5">
        <v>0.90159999999999996</v>
      </c>
      <c r="D5">
        <v>0.9031674659174882</v>
      </c>
      <c r="E5">
        <v>0.90159999999999996</v>
      </c>
      <c r="F5">
        <v>0.90093693917543261</v>
      </c>
      <c r="G5">
        <v>0.821092830042077</v>
      </c>
      <c r="H5">
        <v>0.87769330045320482</v>
      </c>
      <c r="I5">
        <v>0.877</v>
      </c>
      <c r="J5">
        <v>0.97540000000000016</v>
      </c>
      <c r="K5">
        <v>0.98129659999999996</v>
      </c>
    </row>
    <row r="6" spans="1:11" x14ac:dyDescent="0.35">
      <c r="A6">
        <v>2</v>
      </c>
      <c r="B6" t="s">
        <v>15</v>
      </c>
      <c r="C6">
        <v>0.98599999999999999</v>
      </c>
      <c r="D6">
        <v>0.98599425734524337</v>
      </c>
      <c r="E6">
        <v>0.98599999999999999</v>
      </c>
      <c r="F6">
        <v>0.98599436315827194</v>
      </c>
      <c r="G6">
        <v>0.97248093822648862</v>
      </c>
      <c r="H6">
        <v>0.98250137550288852</v>
      </c>
      <c r="I6">
        <v>0.98250000000000004</v>
      </c>
      <c r="J6">
        <v>0.99649999999999994</v>
      </c>
      <c r="K6">
        <v>0.99955519999999998</v>
      </c>
    </row>
    <row r="7" spans="1:11" x14ac:dyDescent="0.35">
      <c r="A7">
        <v>2</v>
      </c>
      <c r="B7" t="s">
        <v>16</v>
      </c>
      <c r="C7">
        <v>0.97</v>
      </c>
      <c r="D7">
        <v>0.97003770017682223</v>
      </c>
      <c r="E7">
        <v>0.97</v>
      </c>
      <c r="F7">
        <v>0.96998094552393854</v>
      </c>
      <c r="G7">
        <v>0.94203499398133539</v>
      </c>
      <c r="H7">
        <v>0.96251867304338723</v>
      </c>
      <c r="I7">
        <v>0.96250000000000002</v>
      </c>
      <c r="J7">
        <v>0.99250000000000005</v>
      </c>
      <c r="K7">
        <v>0.99892199999999998</v>
      </c>
    </row>
    <row r="8" spans="1:11" x14ac:dyDescent="0.35">
      <c r="A8">
        <v>2</v>
      </c>
      <c r="B8" t="s">
        <v>17</v>
      </c>
      <c r="C8">
        <v>0.98119999999999996</v>
      </c>
      <c r="D8">
        <v>0.98119312786251434</v>
      </c>
      <c r="E8">
        <v>0.98119999999999996</v>
      </c>
      <c r="F8">
        <v>0.98118987491005427</v>
      </c>
      <c r="G8">
        <v>0.96324023221928368</v>
      </c>
      <c r="H8">
        <v>0.97650332011693253</v>
      </c>
      <c r="I8">
        <v>0.97650000000000003</v>
      </c>
      <c r="J8">
        <v>0.99529999999999996</v>
      </c>
      <c r="K8">
        <v>0.99953760000000003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3</v>
      </c>
      <c r="B2" t="s">
        <v>11</v>
      </c>
      <c r="C2">
        <v>0.97199999999999998</v>
      </c>
      <c r="D2">
        <v>0.97194440051114894</v>
      </c>
      <c r="E2">
        <v>0.97199999999999998</v>
      </c>
      <c r="F2">
        <v>0.97194242546302867</v>
      </c>
      <c r="G2">
        <v>0.94568273368813061</v>
      </c>
      <c r="H2">
        <v>0.96501486134329784</v>
      </c>
      <c r="I2">
        <v>0.96499999999999997</v>
      </c>
      <c r="J2">
        <v>0.99299999999999999</v>
      </c>
      <c r="K2">
        <v>0.99660630000000006</v>
      </c>
    </row>
    <row r="3" spans="1:11" x14ac:dyDescent="0.35">
      <c r="A3">
        <v>3</v>
      </c>
      <c r="B3" t="s">
        <v>12</v>
      </c>
      <c r="C3">
        <v>0.96319999999999995</v>
      </c>
      <c r="D3">
        <v>0.96314903917269024</v>
      </c>
      <c r="E3">
        <v>0.96319999999999995</v>
      </c>
      <c r="F3">
        <v>0.96314550020633327</v>
      </c>
      <c r="G3">
        <v>0.92947967584487889</v>
      </c>
      <c r="H3">
        <v>0.95401431032198303</v>
      </c>
      <c r="I3">
        <v>0.95399999999999996</v>
      </c>
      <c r="J3">
        <v>0.9907999999999999</v>
      </c>
      <c r="K3">
        <v>0.97699999999999998</v>
      </c>
    </row>
    <row r="4" spans="1:11" x14ac:dyDescent="0.35">
      <c r="A4">
        <v>3</v>
      </c>
      <c r="B4" t="s">
        <v>13</v>
      </c>
      <c r="C4">
        <v>0.96919999999999995</v>
      </c>
      <c r="D4">
        <v>0.96919186997084361</v>
      </c>
      <c r="E4">
        <v>0.96919999999999995</v>
      </c>
      <c r="F4">
        <v>0.96913297979604573</v>
      </c>
      <c r="G4">
        <v>0.9403641051270073</v>
      </c>
      <c r="H4">
        <v>0.96153134643284899</v>
      </c>
      <c r="I4">
        <v>0.96150000000000002</v>
      </c>
      <c r="J4">
        <v>0.99229999999999996</v>
      </c>
      <c r="K4">
        <v>0.99841630000000003</v>
      </c>
    </row>
    <row r="5" spans="1:11" x14ac:dyDescent="0.35">
      <c r="A5">
        <v>3</v>
      </c>
      <c r="B5" t="s">
        <v>14</v>
      </c>
      <c r="C5">
        <v>0.88400000000000001</v>
      </c>
      <c r="D5">
        <v>0.88676953793924151</v>
      </c>
      <c r="E5">
        <v>0.88400000000000001</v>
      </c>
      <c r="F5">
        <v>0.88296833775766759</v>
      </c>
      <c r="G5">
        <v>0.79192803901708442</v>
      </c>
      <c r="H5">
        <v>0.8561133287938546</v>
      </c>
      <c r="I5">
        <v>0.85499999999999998</v>
      </c>
      <c r="J5">
        <v>0.97100000000000009</v>
      </c>
      <c r="K5">
        <v>0.98017660000000006</v>
      </c>
    </row>
    <row r="6" spans="1:11" x14ac:dyDescent="0.35">
      <c r="A6">
        <v>3</v>
      </c>
      <c r="B6" t="s">
        <v>15</v>
      </c>
      <c r="C6">
        <v>0.98280000000000001</v>
      </c>
      <c r="D6">
        <v>0.98281926377269524</v>
      </c>
      <c r="E6">
        <v>0.98280000000000001</v>
      </c>
      <c r="F6">
        <v>0.98276443035577266</v>
      </c>
      <c r="G6">
        <v>0.96625622900158925</v>
      </c>
      <c r="H6">
        <v>0.97852250627646953</v>
      </c>
      <c r="I6">
        <v>0.97850000000000004</v>
      </c>
      <c r="J6">
        <v>0.99570000000000003</v>
      </c>
      <c r="K6">
        <v>0.99858519999999995</v>
      </c>
    </row>
    <row r="7" spans="1:11" x14ac:dyDescent="0.35">
      <c r="A7">
        <v>3</v>
      </c>
      <c r="B7" t="s">
        <v>16</v>
      </c>
      <c r="C7">
        <v>0.96679999999999999</v>
      </c>
      <c r="D7">
        <v>0.96679199551795736</v>
      </c>
      <c r="E7">
        <v>0.96679999999999999</v>
      </c>
      <c r="F7">
        <v>0.96672434741447777</v>
      </c>
      <c r="G7">
        <v>0.93582603450048851</v>
      </c>
      <c r="H7">
        <v>0.95853546646840104</v>
      </c>
      <c r="I7">
        <v>0.95850000000000002</v>
      </c>
      <c r="J7">
        <v>0.99170000000000003</v>
      </c>
      <c r="K7">
        <v>0.99778249999999991</v>
      </c>
    </row>
    <row r="8" spans="1:11" x14ac:dyDescent="0.35">
      <c r="A8">
        <v>3</v>
      </c>
      <c r="B8" t="s">
        <v>17</v>
      </c>
      <c r="C8">
        <v>0.98</v>
      </c>
      <c r="D8">
        <v>0.98003977285534494</v>
      </c>
      <c r="E8">
        <v>0.98</v>
      </c>
      <c r="F8">
        <v>0.97995810258657479</v>
      </c>
      <c r="G8">
        <v>0.96088981849717825</v>
      </c>
      <c r="H8">
        <v>0.97503061644204192</v>
      </c>
      <c r="I8">
        <v>0.97499999999999998</v>
      </c>
      <c r="J8">
        <v>0.99499999999999988</v>
      </c>
      <c r="K8">
        <v>0.99866390000000005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4</v>
      </c>
      <c r="B2" t="s">
        <v>11</v>
      </c>
      <c r="C2">
        <v>0.97319999999999995</v>
      </c>
      <c r="D2">
        <v>0.97342004397942927</v>
      </c>
      <c r="E2">
        <v>0.97319999999999995</v>
      </c>
      <c r="F2">
        <v>0.97322216719179855</v>
      </c>
      <c r="G2">
        <v>0.94804166304603932</v>
      </c>
      <c r="H2">
        <v>0.96654407541478127</v>
      </c>
      <c r="I2">
        <v>0.96650000000000003</v>
      </c>
      <c r="J2">
        <v>0.99329999999999996</v>
      </c>
      <c r="K2">
        <v>0.99512639999999997</v>
      </c>
    </row>
    <row r="3" spans="1:11" x14ac:dyDescent="0.35">
      <c r="A3">
        <v>4</v>
      </c>
      <c r="B3" t="s">
        <v>12</v>
      </c>
      <c r="C3">
        <v>0.96040000000000003</v>
      </c>
      <c r="D3">
        <v>0.96067298406870705</v>
      </c>
      <c r="E3">
        <v>0.96040000000000003</v>
      </c>
      <c r="F3">
        <v>0.96049814334831773</v>
      </c>
      <c r="G3">
        <v>0.92465316291124144</v>
      </c>
      <c r="H3">
        <v>0.9505188204589694</v>
      </c>
      <c r="I3">
        <v>0.95050000000000001</v>
      </c>
      <c r="J3">
        <v>0.99009999999999998</v>
      </c>
      <c r="K3">
        <v>0.97524999999999995</v>
      </c>
    </row>
    <row r="4" spans="1:11" x14ac:dyDescent="0.35">
      <c r="A4">
        <v>4</v>
      </c>
      <c r="B4" t="s">
        <v>13</v>
      </c>
      <c r="C4">
        <v>0.96919999999999995</v>
      </c>
      <c r="D4">
        <v>0.96921377195178082</v>
      </c>
      <c r="E4">
        <v>0.96919999999999995</v>
      </c>
      <c r="F4">
        <v>0.96918960307689761</v>
      </c>
      <c r="G4">
        <v>0.94052064196706853</v>
      </c>
      <c r="H4">
        <v>0.96150846131168943</v>
      </c>
      <c r="I4">
        <v>0.96150000000000002</v>
      </c>
      <c r="J4">
        <v>0.99229999999999996</v>
      </c>
      <c r="K4">
        <v>0.99877530000000014</v>
      </c>
    </row>
    <row r="5" spans="1:11" x14ac:dyDescent="0.35">
      <c r="A5">
        <v>4</v>
      </c>
      <c r="B5" t="s">
        <v>14</v>
      </c>
      <c r="C5">
        <v>0.88439999999999996</v>
      </c>
      <c r="D5">
        <v>0.88582414029890644</v>
      </c>
      <c r="E5">
        <v>0.88439999999999996</v>
      </c>
      <c r="F5">
        <v>0.88344738937990042</v>
      </c>
      <c r="G5">
        <v>0.79290331448447138</v>
      </c>
      <c r="H5">
        <v>0.85629895713502024</v>
      </c>
      <c r="I5">
        <v>0.85550000000000004</v>
      </c>
      <c r="J5">
        <v>0.97110000000000007</v>
      </c>
      <c r="K5">
        <v>0.9825375999999999</v>
      </c>
    </row>
    <row r="6" spans="1:11" x14ac:dyDescent="0.35">
      <c r="A6">
        <v>4</v>
      </c>
      <c r="B6" t="s">
        <v>15</v>
      </c>
      <c r="C6">
        <v>0.98119999999999996</v>
      </c>
      <c r="D6">
        <v>0.98124215365909417</v>
      </c>
      <c r="E6">
        <v>0.98119999999999996</v>
      </c>
      <c r="F6">
        <v>0.98121255185579503</v>
      </c>
      <c r="G6">
        <v>0.96331831921172884</v>
      </c>
      <c r="H6">
        <v>0.97650429662835769</v>
      </c>
      <c r="I6">
        <v>0.97650000000000003</v>
      </c>
      <c r="J6">
        <v>0.99530000000000007</v>
      </c>
      <c r="K6">
        <v>0.9993242</v>
      </c>
    </row>
    <row r="7" spans="1:11" x14ac:dyDescent="0.35">
      <c r="A7">
        <v>4</v>
      </c>
      <c r="B7" t="s">
        <v>16</v>
      </c>
      <c r="C7">
        <v>0.96279999999999999</v>
      </c>
      <c r="D7">
        <v>0.96289918869589586</v>
      </c>
      <c r="E7">
        <v>0.96279999999999999</v>
      </c>
      <c r="F7">
        <v>0.96282536320858891</v>
      </c>
      <c r="G7">
        <v>0.92863805995357274</v>
      </c>
      <c r="H7">
        <v>0.95351201432707122</v>
      </c>
      <c r="I7">
        <v>0.95350000000000001</v>
      </c>
      <c r="J7">
        <v>0.99070000000000003</v>
      </c>
      <c r="K7">
        <v>0.99810359999999998</v>
      </c>
    </row>
    <row r="8" spans="1:11" x14ac:dyDescent="0.35">
      <c r="A8">
        <v>4</v>
      </c>
      <c r="B8" t="s">
        <v>17</v>
      </c>
      <c r="C8">
        <v>0.97799999999999998</v>
      </c>
      <c r="D8">
        <v>0.97802411966211111</v>
      </c>
      <c r="E8">
        <v>0.97799999999999998</v>
      </c>
      <c r="F8">
        <v>0.97800219408159339</v>
      </c>
      <c r="G8">
        <v>0.95711165654242158</v>
      </c>
      <c r="H8">
        <v>0.97250486253646906</v>
      </c>
      <c r="I8">
        <v>0.97250000000000003</v>
      </c>
      <c r="J8">
        <v>0.99450000000000005</v>
      </c>
      <c r="K8">
        <v>0.99925019999999998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5</v>
      </c>
      <c r="B2" t="s">
        <v>11</v>
      </c>
      <c r="C2">
        <v>0.97440000000000004</v>
      </c>
      <c r="D2">
        <v>0.97471982114369948</v>
      </c>
      <c r="E2">
        <v>0.97440000000000004</v>
      </c>
      <c r="F2">
        <v>0.97441895166622905</v>
      </c>
      <c r="G2">
        <v>0.95025055092698751</v>
      </c>
      <c r="H2">
        <v>0.96807009081195405</v>
      </c>
      <c r="I2">
        <v>0.96799999999999997</v>
      </c>
      <c r="J2">
        <v>0.99360000000000004</v>
      </c>
      <c r="K2">
        <v>0.99447030000000003</v>
      </c>
    </row>
    <row r="3" spans="1:11" x14ac:dyDescent="0.35">
      <c r="A3">
        <v>5</v>
      </c>
      <c r="B3" t="s">
        <v>12</v>
      </c>
      <c r="C3">
        <v>0.95479999999999998</v>
      </c>
      <c r="D3">
        <v>0.95493683376617866</v>
      </c>
      <c r="E3">
        <v>0.95479999999999998</v>
      </c>
      <c r="F3">
        <v>0.95484079306512559</v>
      </c>
      <c r="G3">
        <v>0.91402939814601269</v>
      </c>
      <c r="H3">
        <v>0.94351377540168202</v>
      </c>
      <c r="I3">
        <v>0.94350000000000001</v>
      </c>
      <c r="J3">
        <v>0.98870000000000002</v>
      </c>
      <c r="K3">
        <v>0.97175000000000011</v>
      </c>
    </row>
    <row r="4" spans="1:11" x14ac:dyDescent="0.35">
      <c r="A4">
        <v>5</v>
      </c>
      <c r="B4" t="s">
        <v>13</v>
      </c>
      <c r="C4">
        <v>0.96719999999999995</v>
      </c>
      <c r="D4">
        <v>0.96719868988843316</v>
      </c>
      <c r="E4">
        <v>0.96719999999999995</v>
      </c>
      <c r="F4">
        <v>0.9671674141492087</v>
      </c>
      <c r="G4">
        <v>0.93668884434586686</v>
      </c>
      <c r="H4">
        <v>0.95901572798690959</v>
      </c>
      <c r="I4">
        <v>0.95899999999999996</v>
      </c>
      <c r="J4">
        <v>0.99180000000000013</v>
      </c>
      <c r="K4">
        <v>0.99872709999999976</v>
      </c>
    </row>
    <row r="5" spans="1:11" x14ac:dyDescent="0.35">
      <c r="A5">
        <v>5</v>
      </c>
      <c r="B5" t="s">
        <v>14</v>
      </c>
      <c r="C5">
        <v>0.89280000000000004</v>
      </c>
      <c r="D5">
        <v>0.8957967119235245</v>
      </c>
      <c r="E5">
        <v>0.89280000000000004</v>
      </c>
      <c r="F5">
        <v>0.89197048460517758</v>
      </c>
      <c r="G5">
        <v>0.80678431903333292</v>
      </c>
      <c r="H5">
        <v>0.86708974951841311</v>
      </c>
      <c r="I5">
        <v>0.86599999999999999</v>
      </c>
      <c r="J5">
        <v>0.97319999999999995</v>
      </c>
      <c r="K5">
        <v>0.98018260000000001</v>
      </c>
    </row>
    <row r="6" spans="1:11" x14ac:dyDescent="0.35">
      <c r="A6">
        <v>5</v>
      </c>
      <c r="B6" t="s">
        <v>15</v>
      </c>
      <c r="C6">
        <v>0.98319999999999996</v>
      </c>
      <c r="D6">
        <v>0.98330724123478319</v>
      </c>
      <c r="E6">
        <v>0.98319999999999996</v>
      </c>
      <c r="F6">
        <v>0.98319497088437657</v>
      </c>
      <c r="G6">
        <v>0.96701032637025286</v>
      </c>
      <c r="H6">
        <v>0.97902917550415147</v>
      </c>
      <c r="I6">
        <v>0.97899999999999998</v>
      </c>
      <c r="J6">
        <v>0.99580000000000002</v>
      </c>
      <c r="K6">
        <v>0.99932979999999993</v>
      </c>
    </row>
    <row r="7" spans="1:11" x14ac:dyDescent="0.35">
      <c r="A7">
        <v>5</v>
      </c>
      <c r="B7" t="s">
        <v>16</v>
      </c>
      <c r="C7">
        <v>0.96519999999999995</v>
      </c>
      <c r="D7">
        <v>0.96523767159446705</v>
      </c>
      <c r="E7">
        <v>0.96519999999999995</v>
      </c>
      <c r="F7">
        <v>0.96515841150905635</v>
      </c>
      <c r="G7">
        <v>0.9329191326671995</v>
      </c>
      <c r="H7">
        <v>0.95653003551468008</v>
      </c>
      <c r="I7">
        <v>0.95650000000000002</v>
      </c>
      <c r="J7">
        <v>0.99130000000000007</v>
      </c>
      <c r="K7">
        <v>0.99791530000000006</v>
      </c>
    </row>
    <row r="8" spans="1:11" x14ac:dyDescent="0.35">
      <c r="A8">
        <v>5</v>
      </c>
      <c r="B8" t="s">
        <v>17</v>
      </c>
      <c r="C8">
        <v>0.98119999999999996</v>
      </c>
      <c r="D8">
        <v>0.98136901877743477</v>
      </c>
      <c r="E8">
        <v>0.98119999999999996</v>
      </c>
      <c r="F8">
        <v>0.98118900020402378</v>
      </c>
      <c r="G8">
        <v>0.9631543644426489</v>
      </c>
      <c r="H8">
        <v>0.97654765668849797</v>
      </c>
      <c r="I8">
        <v>0.97650000000000003</v>
      </c>
      <c r="J8">
        <v>0.99529999999999996</v>
      </c>
      <c r="K8">
        <v>0.99922860000000002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C72DE-9746-4642-9795-0B72D64E3C04}">
  <dimension ref="A1:U31"/>
  <sheetViews>
    <sheetView tabSelected="1" topLeftCell="A5" workbookViewId="0">
      <selection activeCell="L22" sqref="L22:S31"/>
    </sheetView>
  </sheetViews>
  <sheetFormatPr defaultRowHeight="14.5" x14ac:dyDescent="0.35"/>
  <cols>
    <col min="1" max="1" width="18" bestFit="1" customWidth="1"/>
    <col min="12" max="12" width="18" bestFit="1" customWidth="1"/>
  </cols>
  <sheetData>
    <row r="1" spans="1:2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</row>
    <row r="2" spans="1:21" x14ac:dyDescent="0.35">
      <c r="A2" t="s">
        <v>11</v>
      </c>
      <c r="B2">
        <f>AVERAGE(Fold1!C2,Fold2!C2,Fold3!C2,Fold4!C2,Fold5!C2)</f>
        <v>0.97240000000000004</v>
      </c>
      <c r="C2">
        <f>AVERAGE(Fold1!D2,Fold2!D2,Fold3!D2,Fold4!D2,Fold5!D2)</f>
        <v>0.97258953559728911</v>
      </c>
      <c r="D2">
        <f>AVERAGE(Fold1!E2,Fold2!E2,Fold3!E2,Fold4!E2,Fold5!E2)</f>
        <v>0.97240000000000004</v>
      </c>
      <c r="E2">
        <f>AVERAGE(Fold1!F2,Fold2!F2,Fold3!F2,Fold4!F2,Fold5!F2)</f>
        <v>0.97240184459322521</v>
      </c>
      <c r="F2">
        <f>AVERAGE(Fold1!G2,Fold2!G2,Fold3!G2,Fold4!G2,Fold5!G2)</f>
        <v>0.94662615667783323</v>
      </c>
      <c r="G2">
        <f>AVERAGE(Fold1!H2,Fold2!H2,Fold3!H2,Fold4!H2,Fold5!H2)</f>
        <v>0.96554661348986115</v>
      </c>
      <c r="H2">
        <f>AVERAGE(Fold1!I2,Fold2!I2,Fold3!I2,Fold4!I2,Fold5!I2)</f>
        <v>0.96549999999999991</v>
      </c>
      <c r="I2">
        <f>AVERAGE(Fold1!J2,Fold2!J2,Fold3!J2,Fold4!J2,Fold5!J2)</f>
        <v>0.99310000000000009</v>
      </c>
      <c r="J2">
        <f>AVERAGE(Fold1!K2,Fold2!K2,Fold3!K2,Fold4!K2,Fold5!K2)</f>
        <v>0.99591449999999992</v>
      </c>
      <c r="L2" t="s">
        <v>11</v>
      </c>
      <c r="M2">
        <f>_xlfn.STDEV.P(Fold1!C2,Fold2!C2,Fold3!C2,Fold4!C2,Fold5!C2)</f>
        <v>2.1614809737769956E-3</v>
      </c>
      <c r="N2">
        <f>_xlfn.STDEV.P(Fold1!D2,Fold2!D2,Fold3!D2,Fold4!D2,Fold5!D2)</f>
        <v>2.0892642004477721E-3</v>
      </c>
      <c r="O2">
        <f>_xlfn.STDEV.P(Fold1!E2,Fold2!E2,Fold3!E2,Fold4!E2,Fold5!E2)</f>
        <v>2.1614809737769956E-3</v>
      </c>
      <c r="P2">
        <f>_xlfn.STDEV.P(Fold1!F2,Fold2!F2,Fold3!F2,Fold4!F2,Fold5!F2)</f>
        <v>2.1527255608505044E-3</v>
      </c>
      <c r="Q2">
        <f>_xlfn.STDEV.P(Fold1!G2,Fold2!G2,Fold3!G2,Fold4!G2,Fold5!G2)</f>
        <v>3.8597282261911949E-3</v>
      </c>
      <c r="R2">
        <f>_xlfn.STDEV.P(Fold1!H2,Fold2!H2,Fold3!H2,Fold4!H2,Fold5!H2)</f>
        <v>2.6863701378468169E-3</v>
      </c>
      <c r="S2">
        <f>_xlfn.STDEV.P(Fold1!I2,Fold2!I2,Fold3!I2,Fold4!I2,Fold5!I2)</f>
        <v>2.7018512172212535E-3</v>
      </c>
      <c r="T2">
        <f>_xlfn.STDEV.P(Fold1!J2,Fold2!J2,Fold3!J2,Fold4!J2,Fold5!J2)</f>
        <v>5.4037024344422938E-4</v>
      </c>
      <c r="U2">
        <f>_xlfn.STDEV.P(Fold1!K2,Fold2!K2,Fold3!K2,Fold4!K2,Fold5!K2)</f>
        <v>9.7566518232439421E-4</v>
      </c>
    </row>
    <row r="3" spans="1:21" x14ac:dyDescent="0.35">
      <c r="A3" t="s">
        <v>12</v>
      </c>
      <c r="B3">
        <f>AVERAGE(Fold1!C3,Fold2!C3,Fold3!C3,Fold4!C3,Fold5!C3)</f>
        <v>0.95768000000000009</v>
      </c>
      <c r="C3">
        <f>AVERAGE(Fold1!D3,Fold2!D3,Fold3!D3,Fold4!D3,Fold5!D3)</f>
        <v>0.95782561420028034</v>
      </c>
      <c r="D3">
        <f>AVERAGE(Fold1!E3,Fold2!E3,Fold3!E3,Fold4!E3,Fold5!E3)</f>
        <v>0.95768000000000009</v>
      </c>
      <c r="E3">
        <f>AVERAGE(Fold1!F3,Fold2!F3,Fold3!F3,Fold4!F3,Fold5!F3)</f>
        <v>0.95771901639587154</v>
      </c>
      <c r="F3">
        <f>AVERAGE(Fold1!G3,Fold2!G3,Fold3!G3,Fold4!G3,Fold5!G3)</f>
        <v>0.91966664237206464</v>
      </c>
      <c r="G3">
        <f>AVERAGE(Fold1!H3,Fold2!H3,Fold3!H3,Fold4!H3,Fold5!H3)</f>
        <v>0.94711669871073423</v>
      </c>
      <c r="H3">
        <f>AVERAGE(Fold1!I3,Fold2!I3,Fold3!I3,Fold4!I3,Fold5!I3)</f>
        <v>0.94710000000000005</v>
      </c>
      <c r="I3">
        <f>AVERAGE(Fold1!J3,Fold2!J3,Fold3!J3,Fold4!J3,Fold5!J3)</f>
        <v>0.98941999999999997</v>
      </c>
      <c r="J3">
        <f>AVERAGE(Fold1!K3,Fold2!K3,Fold3!K3,Fold4!K3,Fold5!K3)</f>
        <v>0.97355000000000003</v>
      </c>
      <c r="L3" t="s">
        <v>12</v>
      </c>
      <c r="M3">
        <f>_xlfn.STDEV.P(Fold1!C3,Fold2!C3,Fold3!C3,Fold4!C3,Fold5!C3)</f>
        <v>6.0366878335722917E-3</v>
      </c>
      <c r="N3">
        <f>_xlfn.STDEV.P(Fold1!D3,Fold2!D3,Fold3!D3,Fold4!D3,Fold5!D3)</f>
        <v>5.9281226550217895E-3</v>
      </c>
      <c r="O3">
        <f>_xlfn.STDEV.P(Fold1!E3,Fold2!E3,Fold3!E3,Fold4!E3,Fold5!E3)</f>
        <v>6.0366878335722917E-3</v>
      </c>
      <c r="P3">
        <f>_xlfn.STDEV.P(Fold1!F3,Fold2!F3,Fold3!F3,Fold4!F3,Fold5!F3)</f>
        <v>5.9840898126692754E-3</v>
      </c>
      <c r="Q3">
        <f>_xlfn.STDEV.P(Fold1!G3,Fold2!G3,Fold3!G3,Fold4!G3,Fold5!G3)</f>
        <v>1.0676764654080633E-2</v>
      </c>
      <c r="R3">
        <f>_xlfn.STDEV.P(Fold1!H3,Fold2!H3,Fold3!H3,Fold4!H3,Fold5!H3)</f>
        <v>7.5449274914267993E-3</v>
      </c>
      <c r="S3">
        <f>_xlfn.STDEV.P(Fold1!I3,Fold2!I3,Fold3!I3,Fold4!I3,Fold5!I3)</f>
        <v>7.5458597919654084E-3</v>
      </c>
      <c r="T3">
        <f>_xlfn.STDEV.P(Fold1!J3,Fold2!J3,Fold3!J3,Fold4!J3,Fold5!J3)</f>
        <v>1.5091719583930575E-3</v>
      </c>
      <c r="U3">
        <f>_xlfn.STDEV.P(Fold1!K3,Fold2!K3,Fold3!K3,Fold4!K3,Fold5!K3)</f>
        <v>3.7729298959826886E-3</v>
      </c>
    </row>
    <row r="4" spans="1:21" x14ac:dyDescent="0.35">
      <c r="A4" t="s">
        <v>13</v>
      </c>
      <c r="B4">
        <f>AVERAGE(Fold1!C4,Fold2!C4,Fold3!C4,Fold4!C4,Fold5!C4)</f>
        <v>0.96983999999999992</v>
      </c>
      <c r="C4">
        <f>AVERAGE(Fold1!D4,Fold2!D4,Fold3!D4,Fold4!D4,Fold5!D4)</f>
        <v>0.96984540280287312</v>
      </c>
      <c r="D4">
        <f>AVERAGE(Fold1!E4,Fold2!E4,Fold3!E4,Fold4!E4,Fold5!E4)</f>
        <v>0.96983999999999992</v>
      </c>
      <c r="E4">
        <f>AVERAGE(Fold1!F4,Fold2!F4,Fold3!F4,Fold4!F4,Fold5!F4)</f>
        <v>0.96980339587604758</v>
      </c>
      <c r="F4">
        <f>AVERAGE(Fold1!G4,Fold2!G4,Fold3!G4,Fold4!G4,Fold5!G4)</f>
        <v>0.94171176165182868</v>
      </c>
      <c r="G4">
        <f>AVERAGE(Fold1!H4,Fold2!H4,Fold3!H4,Fold4!H4,Fold5!H4)</f>
        <v>0.96231944560343441</v>
      </c>
      <c r="H4">
        <f>AVERAGE(Fold1!I4,Fold2!I4,Fold3!I4,Fold4!I4,Fold5!I4)</f>
        <v>0.96229999999999993</v>
      </c>
      <c r="I4">
        <f>AVERAGE(Fold1!J4,Fold2!J4,Fold3!J4,Fold4!J4,Fold5!J4)</f>
        <v>0.99246000000000012</v>
      </c>
      <c r="J4">
        <f>AVERAGE(Fold1!K4,Fold2!K4,Fold3!K4,Fold4!K4,Fold5!K4)</f>
        <v>0.99873995999999998</v>
      </c>
      <c r="L4" t="s">
        <v>13</v>
      </c>
      <c r="M4">
        <f>_xlfn.STDEV.P(Fold1!C4,Fold2!C4,Fold3!C4,Fold4!C4,Fold5!C4)</f>
        <v>1.7995555006723456E-3</v>
      </c>
      <c r="N4">
        <f>_xlfn.STDEV.P(Fold1!D4,Fold2!D4,Fold3!D4,Fold4!D4,Fold5!D4)</f>
        <v>1.8121922790972301E-3</v>
      </c>
      <c r="O4">
        <f>_xlfn.STDEV.P(Fold1!E4,Fold2!E4,Fold3!E4,Fold4!E4,Fold5!E4)</f>
        <v>1.7995555006723456E-3</v>
      </c>
      <c r="P4">
        <f>_xlfn.STDEV.P(Fold1!F4,Fold2!F4,Fold3!F4,Fold4!F4,Fold5!F4)</f>
        <v>1.8001373903385664E-3</v>
      </c>
      <c r="Q4">
        <f>_xlfn.STDEV.P(Fold1!G4,Fold2!G4,Fold3!G4,Fold4!G4,Fold5!G4)</f>
        <v>3.4264493451455057E-3</v>
      </c>
      <c r="R4">
        <f>_xlfn.STDEV.P(Fold1!H4,Fold2!H4,Fold3!H4,Fold4!H4,Fold5!H4)</f>
        <v>2.2522577572834566E-3</v>
      </c>
      <c r="S4">
        <f>_xlfn.STDEV.P(Fold1!I4,Fold2!I4,Fold3!I4,Fold4!I4,Fold5!I4)</f>
        <v>2.2494443758404085E-3</v>
      </c>
      <c r="T4">
        <f>_xlfn.STDEV.P(Fold1!J4,Fold2!J4,Fold3!J4,Fold4!J4,Fold5!J4)</f>
        <v>4.4988887516809431E-4</v>
      </c>
      <c r="U4">
        <f>_xlfn.STDEV.P(Fold1!K4,Fold2!K4,Fold3!K4,Fold4!K4,Fold5!K4)</f>
        <v>1.842739221919298E-4</v>
      </c>
    </row>
    <row r="5" spans="1:21" x14ac:dyDescent="0.35">
      <c r="A5" t="s">
        <v>14</v>
      </c>
      <c r="B5">
        <f>AVERAGE(Fold1!C5,Fold2!C5,Fold3!C5,Fold4!C5,Fold5!C5)</f>
        <v>0.89039999999999997</v>
      </c>
      <c r="C5">
        <f>AVERAGE(Fold1!D5,Fold2!D5,Fold3!D5,Fold4!D5,Fold5!D5)</f>
        <v>0.89262164716797232</v>
      </c>
      <c r="D5">
        <f>AVERAGE(Fold1!E5,Fold2!E5,Fold3!E5,Fold4!E5,Fold5!E5)</f>
        <v>0.89039999999999997</v>
      </c>
      <c r="E5">
        <f>AVERAGE(Fold1!F5,Fold2!F5,Fold3!F5,Fold4!F5,Fold5!F5)</f>
        <v>0.88954878977297691</v>
      </c>
      <c r="F5">
        <f>AVERAGE(Fold1!G5,Fold2!G5,Fold3!G5,Fold4!G5,Fold5!G5)</f>
        <v>0.80272927373132696</v>
      </c>
      <c r="G5">
        <f>AVERAGE(Fold1!H5,Fold2!H5,Fold3!H5,Fold4!H5,Fold5!H5)</f>
        <v>0.86392192694879599</v>
      </c>
      <c r="H5">
        <f>AVERAGE(Fold1!I5,Fold2!I5,Fold3!I5,Fold4!I5,Fold5!I5)</f>
        <v>0.86299999999999988</v>
      </c>
      <c r="I5">
        <f>AVERAGE(Fold1!J5,Fold2!J5,Fold3!J5,Fold4!J5,Fold5!J5)</f>
        <v>0.97260000000000013</v>
      </c>
      <c r="J5">
        <f>AVERAGE(Fold1!K5,Fold2!K5,Fold3!K5,Fold4!K5,Fold5!K5)</f>
        <v>0.9807940799999999</v>
      </c>
      <c r="L5" t="s">
        <v>14</v>
      </c>
      <c r="M5">
        <f>_xlfn.STDEV.P(Fold1!C5,Fold2!C5,Fold3!C5,Fold4!C5,Fold5!C5)</f>
        <v>6.4745656224954509E-3</v>
      </c>
      <c r="N5">
        <f>_xlfn.STDEV.P(Fold1!D5,Fold2!D5,Fold3!D5,Fold4!D5,Fold5!D5)</f>
        <v>6.3701840666885862E-3</v>
      </c>
      <c r="O5">
        <f>_xlfn.STDEV.P(Fold1!E5,Fold2!E5,Fold3!E5,Fold4!E5,Fold5!E5)</f>
        <v>6.4745656224954509E-3</v>
      </c>
      <c r="P5">
        <f>_xlfn.STDEV.P(Fold1!F5,Fold2!F5,Fold3!F5,Fold4!F5,Fold5!F5)</f>
        <v>6.593274660068647E-3</v>
      </c>
      <c r="Q5">
        <f>_xlfn.STDEV.P(Fold1!G5,Fold2!G5,Fold3!G5,Fold4!G5,Fold5!G5)</f>
        <v>1.0677910662923252E-2</v>
      </c>
      <c r="R5">
        <f>_xlfn.STDEV.P(Fold1!H5,Fold2!H5,Fold3!H5,Fold4!H5,Fold5!H5)</f>
        <v>8.0130224567452335E-3</v>
      </c>
      <c r="S5">
        <f>_xlfn.STDEV.P(Fold1!I5,Fold2!I5,Fold3!I5,Fold4!I5,Fold5!I5)</f>
        <v>8.0932070281193227E-3</v>
      </c>
      <c r="T5">
        <f>_xlfn.STDEV.P(Fold1!J5,Fold2!J5,Fold3!J5,Fold4!J5,Fold5!J5)</f>
        <v>1.6186414056238824E-3</v>
      </c>
      <c r="U5">
        <f>_xlfn.STDEV.P(Fold1!K5,Fold2!K5,Fold3!K5,Fold4!K5,Fold5!K5)</f>
        <v>1.0081695698640678E-3</v>
      </c>
    </row>
    <row r="6" spans="1:21" x14ac:dyDescent="0.35">
      <c r="A6" t="s">
        <v>15</v>
      </c>
      <c r="B6">
        <f>AVERAGE(Fold1!C6,Fold2!C6,Fold3!C6,Fold4!C6,Fold5!C6)</f>
        <v>0.98303999999999991</v>
      </c>
      <c r="C6">
        <f>AVERAGE(Fold1!D6,Fold2!D6,Fold3!D6,Fold4!D6,Fold5!D6)</f>
        <v>0.98307287165032142</v>
      </c>
      <c r="D6">
        <f>AVERAGE(Fold1!E6,Fold2!E6,Fold3!E6,Fold4!E6,Fold5!E6)</f>
        <v>0.98303999999999991</v>
      </c>
      <c r="E6">
        <f>AVERAGE(Fold1!F6,Fold2!F6,Fold3!F6,Fold4!F6,Fold5!F6)</f>
        <v>0.98303112968509621</v>
      </c>
      <c r="F6">
        <f>AVERAGE(Fold1!G6,Fold2!G6,Fold3!G6,Fold4!G6,Fold5!G6)</f>
        <v>0.96679713458659167</v>
      </c>
      <c r="G6">
        <f>AVERAGE(Fold1!H6,Fold2!H6,Fold3!H6,Fold4!H6,Fold5!H6)</f>
        <v>0.97881260469223841</v>
      </c>
      <c r="H6">
        <f>AVERAGE(Fold1!I6,Fold2!I6,Fold3!I6,Fold4!I6,Fold5!I6)</f>
        <v>0.9788</v>
      </c>
      <c r="I6">
        <f>AVERAGE(Fold1!J6,Fold2!J6,Fold3!J6,Fold4!J6,Fold5!J6)</f>
        <v>0.99576000000000009</v>
      </c>
      <c r="J6">
        <f>AVERAGE(Fold1!K6,Fold2!K6,Fold3!K6,Fold4!K6,Fold5!K6)</f>
        <v>0.99923800000000007</v>
      </c>
      <c r="L6" t="s">
        <v>15</v>
      </c>
      <c r="M6">
        <f>_xlfn.STDEV.P(Fold1!C6,Fold2!C6,Fold3!C6,Fold4!C6,Fold5!C6)</f>
        <v>1.6316862443496965E-3</v>
      </c>
      <c r="N6">
        <f>_xlfn.STDEV.P(Fold1!D6,Fold2!D6,Fold3!D6,Fold4!D6,Fold5!D6)</f>
        <v>1.6219266186459774E-3</v>
      </c>
      <c r="O6">
        <f>_xlfn.STDEV.P(Fold1!E6,Fold2!E6,Fold3!E6,Fold4!E6,Fold5!E6)</f>
        <v>1.6316862443496965E-3</v>
      </c>
      <c r="P6">
        <f>_xlfn.STDEV.P(Fold1!F6,Fold2!F6,Fold3!F6,Fold4!F6,Fold5!F6)</f>
        <v>1.6291895204944115E-3</v>
      </c>
      <c r="Q6">
        <f>_xlfn.STDEV.P(Fold1!G6,Fold2!G6,Fold3!G6,Fold4!G6,Fold5!G6)</f>
        <v>3.1070876791564014E-3</v>
      </c>
      <c r="R6">
        <f>_xlfn.STDEV.P(Fold1!H6,Fold2!H6,Fold3!H6,Fold4!H6,Fold5!H6)</f>
        <v>2.0383550076700212E-3</v>
      </c>
      <c r="S6">
        <f>_xlfn.STDEV.P(Fold1!I6,Fold2!I6,Fold3!I6,Fold4!I6,Fold5!I6)</f>
        <v>2.0396078054371147E-3</v>
      </c>
      <c r="T6">
        <f>_xlfn.STDEV.P(Fold1!J6,Fold2!J6,Fold3!J6,Fold4!J6,Fold5!J6)</f>
        <v>4.0792156108736369E-4</v>
      </c>
      <c r="U6">
        <f>_xlfn.STDEV.P(Fold1!K6,Fold2!K6,Fold3!K6,Fold4!K6,Fold5!K6)</f>
        <v>3.3688547608944292E-4</v>
      </c>
    </row>
    <row r="7" spans="1:21" x14ac:dyDescent="0.35">
      <c r="A7" t="s">
        <v>16</v>
      </c>
      <c r="B7">
        <f>AVERAGE(Fold1!C7,Fold2!C7,Fold3!C7,Fold4!C7,Fold5!C7)</f>
        <v>0.96616000000000002</v>
      </c>
      <c r="C7">
        <f>AVERAGE(Fold1!D7,Fold2!D7,Fold3!D7,Fold4!D7,Fold5!D7)</f>
        <v>0.96618303250619775</v>
      </c>
      <c r="D7">
        <f>AVERAGE(Fold1!E7,Fold2!E7,Fold3!E7,Fold4!E7,Fold5!E7)</f>
        <v>0.96616000000000002</v>
      </c>
      <c r="E7">
        <f>AVERAGE(Fold1!F7,Fold2!F7,Fold3!F7,Fold4!F7,Fold5!F7)</f>
        <v>0.96612418189587468</v>
      </c>
      <c r="F7">
        <f>AVERAGE(Fold1!G7,Fold2!G7,Fold3!G7,Fold4!G7,Fold5!G7)</f>
        <v>0.93488213309306656</v>
      </c>
      <c r="G7">
        <f>AVERAGE(Fold1!H7,Fold2!H7,Fold3!H7,Fold4!H7,Fold5!H7)</f>
        <v>0.95772341270722561</v>
      </c>
      <c r="H7">
        <f>AVERAGE(Fold1!I7,Fold2!I7,Fold3!I7,Fold4!I7,Fold5!I7)</f>
        <v>0.9577</v>
      </c>
      <c r="I7">
        <f>AVERAGE(Fold1!J7,Fold2!J7,Fold3!J7,Fold4!J7,Fold5!J7)</f>
        <v>0.99153999999999998</v>
      </c>
      <c r="J7">
        <f>AVERAGE(Fold1!K7,Fold2!K7,Fold3!K7,Fold4!K7,Fold5!K7)</f>
        <v>0.99817687999999993</v>
      </c>
      <c r="L7" t="s">
        <v>16</v>
      </c>
      <c r="M7">
        <f>_xlfn.STDEV.P(Fold1!C7,Fold2!C7,Fold3!C7,Fold4!C7,Fold5!C7)</f>
        <v>2.3405982141324459E-3</v>
      </c>
      <c r="N7">
        <f>_xlfn.STDEV.P(Fold1!D7,Fold2!D7,Fold3!D7,Fold4!D7,Fold5!D7)</f>
        <v>2.3221365918232326E-3</v>
      </c>
      <c r="O7">
        <f>_xlfn.STDEV.P(Fold1!E7,Fold2!E7,Fold3!E7,Fold4!E7,Fold5!E7)</f>
        <v>2.3405982141324459E-3</v>
      </c>
      <c r="P7">
        <f>_xlfn.STDEV.P(Fold1!F7,Fold2!F7,Fold3!F7,Fold4!F7,Fold5!F7)</f>
        <v>2.3275195469697474E-3</v>
      </c>
      <c r="Q7">
        <f>_xlfn.STDEV.P(Fold1!G7,Fold2!G7,Fold3!G7,Fold4!G7,Fold5!G7)</f>
        <v>4.3567960102207657E-3</v>
      </c>
      <c r="R7">
        <f>_xlfn.STDEV.P(Fold1!H7,Fold2!H7,Fold3!H7,Fold4!H7,Fold5!H7)</f>
        <v>2.9276270355569952E-3</v>
      </c>
      <c r="S7">
        <f>_xlfn.STDEV.P(Fold1!I7,Fold2!I7,Fold3!I7,Fold4!I7,Fold5!I7)</f>
        <v>2.9257477676655616E-3</v>
      </c>
      <c r="T7">
        <f>_xlfn.STDEV.P(Fold1!J7,Fold2!J7,Fold3!J7,Fold4!J7,Fold5!J7)</f>
        <v>5.8514955353311559E-4</v>
      </c>
      <c r="U7">
        <f>_xlfn.STDEV.P(Fold1!K7,Fold2!K7,Fold3!K7,Fold4!K7,Fold5!K7)</f>
        <v>3.9617814881692099E-4</v>
      </c>
    </row>
    <row r="8" spans="1:21" x14ac:dyDescent="0.35">
      <c r="A8" t="s">
        <v>17</v>
      </c>
      <c r="B8">
        <f>AVERAGE(Fold1!C8,Fold2!C8,Fold3!C8,Fold4!C8,Fold5!C8)</f>
        <v>0.98000000000000009</v>
      </c>
      <c r="C8">
        <f>AVERAGE(Fold1!D8,Fold2!D8,Fold3!D8,Fold4!D8,Fold5!D8)</f>
        <v>0.98004138188467516</v>
      </c>
      <c r="D8">
        <f>AVERAGE(Fold1!E8,Fold2!E8,Fold3!E8,Fold4!E8,Fold5!E8)</f>
        <v>0.98000000000000009</v>
      </c>
      <c r="E8">
        <f>AVERAGE(Fold1!F8,Fold2!F8,Fold3!F8,Fold4!F8,Fold5!F8)</f>
        <v>0.97998435436478259</v>
      </c>
      <c r="F8">
        <f>AVERAGE(Fold1!G8,Fold2!G8,Fold3!G8,Fold4!G8,Fold5!G8)</f>
        <v>0.9609470662498879</v>
      </c>
      <c r="G8">
        <f>AVERAGE(Fold1!H8,Fold2!H8,Fold3!H8,Fold4!H8,Fold5!H8)</f>
        <v>0.97501807076146585</v>
      </c>
      <c r="H8">
        <f>AVERAGE(Fold1!I8,Fold2!I8,Fold3!I8,Fold4!I8,Fold5!I8)</f>
        <v>0.97499999999999998</v>
      </c>
      <c r="I8">
        <f>AVERAGE(Fold1!J8,Fold2!J8,Fold3!J8,Fold4!J8,Fold5!J8)</f>
        <v>0.99499999999999988</v>
      </c>
      <c r="J8">
        <f>AVERAGE(Fold1!K8,Fold2!K8,Fold3!K8,Fold4!K8,Fold5!K8)</f>
        <v>0.99921473999999999</v>
      </c>
      <c r="L8" t="s">
        <v>17</v>
      </c>
      <c r="M8">
        <f>_xlfn.STDEV.P(Fold1!C8,Fold2!C8,Fold3!C8,Fold4!C8,Fold5!C8)</f>
        <v>1.1865917579352951E-3</v>
      </c>
      <c r="N8">
        <f>_xlfn.STDEV.P(Fold1!D8,Fold2!D8,Fold3!D8,Fold4!D8,Fold5!D8)</f>
        <v>1.21413005324853E-3</v>
      </c>
      <c r="O8">
        <f>_xlfn.STDEV.P(Fold1!E8,Fold2!E8,Fold3!E8,Fold4!E8,Fold5!E8)</f>
        <v>1.1865917579352951E-3</v>
      </c>
      <c r="P8">
        <f>_xlfn.STDEV.P(Fold1!F8,Fold2!F8,Fold3!F8,Fold4!F8,Fold5!F8)</f>
        <v>1.1828361224892553E-3</v>
      </c>
      <c r="Q8">
        <f>_xlfn.STDEV.P(Fold1!G8,Fold2!G8,Fold3!G8,Fold4!G8,Fold5!G8)</f>
        <v>2.2456112482462905E-3</v>
      </c>
      <c r="R8">
        <f>_xlfn.STDEV.P(Fold1!H8,Fold2!H8,Fold3!H8,Fold4!H8,Fold5!H8)</f>
        <v>1.491733577886062E-3</v>
      </c>
      <c r="S8">
        <f>_xlfn.STDEV.P(Fold1!I8,Fold2!I8,Fold3!I8,Fold4!I8,Fold5!I8)</f>
        <v>1.4832396974191339E-3</v>
      </c>
      <c r="T8">
        <f>_xlfn.STDEV.P(Fold1!J8,Fold2!J8,Fold3!J8,Fold4!J8,Fold5!J8)</f>
        <v>2.9664793948379386E-4</v>
      </c>
      <c r="U8">
        <f>_xlfn.STDEV.P(Fold1!K8,Fold2!K8,Fold3!K8,Fold4!K8,Fold5!K8)</f>
        <v>2.9699568751077757E-4</v>
      </c>
    </row>
    <row r="13" spans="1:21" x14ac:dyDescent="0.35">
      <c r="A13" s="1" t="s">
        <v>1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  <c r="H13" s="1" t="s">
        <v>8</v>
      </c>
      <c r="I13" s="1" t="s">
        <v>9</v>
      </c>
      <c r="J13" s="1" t="s">
        <v>10</v>
      </c>
      <c r="M13" t="s">
        <v>60</v>
      </c>
      <c r="N13" t="s">
        <v>61</v>
      </c>
      <c r="O13" t="s">
        <v>62</v>
      </c>
      <c r="P13" t="s">
        <v>63</v>
      </c>
      <c r="Q13" t="s">
        <v>64</v>
      </c>
      <c r="R13" t="s">
        <v>65</v>
      </c>
      <c r="S13" t="s">
        <v>66</v>
      </c>
      <c r="T13" s="4" t="s">
        <v>67</v>
      </c>
      <c r="U13" s="4" t="s">
        <v>68</v>
      </c>
    </row>
    <row r="14" spans="1:21" x14ac:dyDescent="0.35">
      <c r="A14" t="s">
        <v>11</v>
      </c>
      <c r="B14" t="str">
        <f>_xlfn.CONCAT(TEXT(B2*100,"0.00"),"±",TEXT(M2*100,"0.00"),"%")</f>
        <v>97.24±0.22%</v>
      </c>
      <c r="C14" t="str">
        <f t="shared" ref="C14:J14" si="0">_xlfn.CONCAT(TEXT(C2*100,"0.00"),"±",TEXT(N2*100,"0.00"),"%")</f>
        <v>97.26±0.21%</v>
      </c>
      <c r="D14" t="str">
        <f t="shared" si="0"/>
        <v>97.24±0.22%</v>
      </c>
      <c r="E14" t="str">
        <f t="shared" si="0"/>
        <v>97.24±0.22%</v>
      </c>
      <c r="F14" t="str">
        <f t="shared" si="0"/>
        <v>94.66±0.39%</v>
      </c>
      <c r="G14" t="str">
        <f t="shared" si="0"/>
        <v>96.55±0.27%</v>
      </c>
      <c r="H14" t="str">
        <f t="shared" si="0"/>
        <v>96.55±0.27%</v>
      </c>
      <c r="I14" t="str">
        <f t="shared" si="0"/>
        <v>99.31±0.05%</v>
      </c>
      <c r="J14" t="str">
        <f t="shared" si="0"/>
        <v>99.59±0.10%</v>
      </c>
      <c r="L14" s="2" t="s">
        <v>16</v>
      </c>
      <c r="M14" t="s">
        <v>23</v>
      </c>
      <c r="N14" t="s">
        <v>23</v>
      </c>
      <c r="O14" t="s">
        <v>23</v>
      </c>
      <c r="P14" t="s">
        <v>24</v>
      </c>
      <c r="Q14" t="s">
        <v>25</v>
      </c>
      <c r="R14" t="s">
        <v>26</v>
      </c>
      <c r="S14" t="s">
        <v>26</v>
      </c>
      <c r="T14" t="s">
        <v>27</v>
      </c>
      <c r="U14" t="s">
        <v>28</v>
      </c>
    </row>
    <row r="15" spans="1:21" x14ac:dyDescent="0.35">
      <c r="A15" t="s">
        <v>12</v>
      </c>
      <c r="B15" t="str">
        <f t="shared" ref="B15:B20" si="1">_xlfn.CONCAT(TEXT(B3*100,"0.00"),"±",TEXT(M3*100,"0.00"),"%")</f>
        <v>95.77±0.60%</v>
      </c>
      <c r="C15" t="str">
        <f t="shared" ref="C15:C20" si="2">_xlfn.CONCAT(TEXT(C3*100,"0.00"),"±",TEXT(N3*100,"0.00"),"%")</f>
        <v>95.78±0.59%</v>
      </c>
      <c r="D15" t="str">
        <f t="shared" ref="D15:D20" si="3">_xlfn.CONCAT(TEXT(D3*100,"0.00"),"±",TEXT(O3*100,"0.00"),"%")</f>
        <v>95.77±0.60%</v>
      </c>
      <c r="E15" t="str">
        <f t="shared" ref="E15:E20" si="4">_xlfn.CONCAT(TEXT(E3*100,"0.00"),"±",TEXT(P3*100,"0.00"),"%")</f>
        <v>95.77±0.60%</v>
      </c>
      <c r="F15" t="str">
        <f t="shared" ref="F15:F20" si="5">_xlfn.CONCAT(TEXT(F3*100,"0.00"),"±",TEXT(Q3*100,"0.00"),"%")</f>
        <v>91.97±1.07%</v>
      </c>
      <c r="G15" t="str">
        <f t="shared" ref="G15:G20" si="6">_xlfn.CONCAT(TEXT(G3*100,"0.00"),"±",TEXT(R3*100,"0.00"),"%")</f>
        <v>94.71±0.75%</v>
      </c>
      <c r="H15" t="str">
        <f t="shared" ref="H15:H20" si="7">_xlfn.CONCAT(TEXT(H3*100,"0.00"),"±",TEXT(S3*100,"0.00"),"%")</f>
        <v>94.71±0.75%</v>
      </c>
      <c r="I15" t="str">
        <f t="shared" ref="I15:I20" si="8">_xlfn.CONCAT(TEXT(I3*100,"0.00"),"±",TEXT(T3*100,"0.00"),"%")</f>
        <v>98.94±0.15%</v>
      </c>
      <c r="J15" t="str">
        <f t="shared" ref="J15:J20" si="9">_xlfn.CONCAT(TEXT(J3*100,"0.00"),"±",TEXT(U3*100,"0.00"),"%")</f>
        <v>97.36±0.38%</v>
      </c>
      <c r="L15" s="2" t="s">
        <v>14</v>
      </c>
      <c r="M15" t="s">
        <v>34</v>
      </c>
      <c r="N15" t="s">
        <v>35</v>
      </c>
      <c r="O15" t="s">
        <v>34</v>
      </c>
      <c r="P15" t="s">
        <v>36</v>
      </c>
      <c r="Q15" t="s">
        <v>37</v>
      </c>
      <c r="R15" t="s">
        <v>38</v>
      </c>
      <c r="S15" t="s">
        <v>39</v>
      </c>
      <c r="T15" t="s">
        <v>40</v>
      </c>
      <c r="U15" t="s">
        <v>41</v>
      </c>
    </row>
    <row r="16" spans="1:21" x14ac:dyDescent="0.35">
      <c r="A16" t="s">
        <v>13</v>
      </c>
      <c r="B16" t="str">
        <f t="shared" si="1"/>
        <v>96.98±0.18%</v>
      </c>
      <c r="C16" t="str">
        <f t="shared" si="2"/>
        <v>96.98±0.18%</v>
      </c>
      <c r="D16" t="str">
        <f t="shared" si="3"/>
        <v>96.98±0.18%</v>
      </c>
      <c r="E16" t="str">
        <f t="shared" si="4"/>
        <v>96.98±0.18%</v>
      </c>
      <c r="F16" t="str">
        <f t="shared" si="5"/>
        <v>94.17±0.34%</v>
      </c>
      <c r="G16" t="str">
        <f t="shared" si="6"/>
        <v>96.23±0.23%</v>
      </c>
      <c r="H16" t="str">
        <f t="shared" si="7"/>
        <v>96.23±0.22%</v>
      </c>
      <c r="I16" t="str">
        <f t="shared" si="8"/>
        <v>99.25±0.04%</v>
      </c>
      <c r="J16" t="str">
        <f t="shared" si="9"/>
        <v>99.87±0.02%</v>
      </c>
      <c r="L16" s="2" t="s">
        <v>12</v>
      </c>
      <c r="M16" t="s">
        <v>48</v>
      </c>
      <c r="N16" t="s">
        <v>49</v>
      </c>
      <c r="O16" t="s">
        <v>48</v>
      </c>
      <c r="P16" t="s">
        <v>48</v>
      </c>
      <c r="Q16" t="s">
        <v>50</v>
      </c>
      <c r="R16" t="s">
        <v>51</v>
      </c>
      <c r="S16" t="s">
        <v>51</v>
      </c>
      <c r="T16" t="s">
        <v>52</v>
      </c>
      <c r="U16" t="s">
        <v>53</v>
      </c>
    </row>
    <row r="17" spans="1:21" x14ac:dyDescent="0.35">
      <c r="A17" t="s">
        <v>14</v>
      </c>
      <c r="B17" t="str">
        <f t="shared" si="1"/>
        <v>89.04±0.65%</v>
      </c>
      <c r="C17" t="str">
        <f t="shared" si="2"/>
        <v>89.26±0.64%</v>
      </c>
      <c r="D17" t="str">
        <f t="shared" si="3"/>
        <v>89.04±0.65%</v>
      </c>
      <c r="E17" t="str">
        <f t="shared" si="4"/>
        <v>88.95±0.66%</v>
      </c>
      <c r="F17" t="str">
        <f t="shared" si="5"/>
        <v>80.27±1.07%</v>
      </c>
      <c r="G17" t="str">
        <f t="shared" si="6"/>
        <v>86.39±0.80%</v>
      </c>
      <c r="H17" t="str">
        <f t="shared" si="7"/>
        <v>86.30±0.81%</v>
      </c>
      <c r="I17" t="str">
        <f t="shared" si="8"/>
        <v>97.26±0.16%</v>
      </c>
      <c r="J17" t="str">
        <f t="shared" si="9"/>
        <v>98.08±0.10%</v>
      </c>
      <c r="L17" s="3" t="s">
        <v>13</v>
      </c>
      <c r="M17" t="s">
        <v>42</v>
      </c>
      <c r="N17" t="s">
        <v>42</v>
      </c>
      <c r="O17" t="s">
        <v>42</v>
      </c>
      <c r="P17" t="s">
        <v>42</v>
      </c>
      <c r="Q17" t="s">
        <v>43</v>
      </c>
      <c r="R17" t="s">
        <v>44</v>
      </c>
      <c r="S17" t="s">
        <v>45</v>
      </c>
      <c r="T17" t="s">
        <v>46</v>
      </c>
      <c r="U17" t="s">
        <v>47</v>
      </c>
    </row>
    <row r="18" spans="1:21" x14ac:dyDescent="0.35">
      <c r="A18" t="s">
        <v>15</v>
      </c>
      <c r="B18" t="str">
        <f t="shared" si="1"/>
        <v>98.30±0.16%</v>
      </c>
      <c r="C18" t="str">
        <f t="shared" si="2"/>
        <v>98.31±0.16%</v>
      </c>
      <c r="D18" t="str">
        <f t="shared" si="3"/>
        <v>98.30±0.16%</v>
      </c>
      <c r="E18" t="str">
        <f t="shared" si="4"/>
        <v>98.30±0.16%</v>
      </c>
      <c r="F18" t="str">
        <f t="shared" si="5"/>
        <v>96.68±0.31%</v>
      </c>
      <c r="G18" t="str">
        <f t="shared" si="6"/>
        <v>97.88±0.20%</v>
      </c>
      <c r="H18" t="str">
        <f t="shared" si="7"/>
        <v>97.88±0.20%</v>
      </c>
      <c r="I18" t="str">
        <f t="shared" si="8"/>
        <v>99.58±0.04%</v>
      </c>
      <c r="J18" t="str">
        <f t="shared" si="9"/>
        <v>99.92±0.03%</v>
      </c>
      <c r="L18" s="2" t="s">
        <v>11</v>
      </c>
      <c r="M18" t="s">
        <v>54</v>
      </c>
      <c r="N18" t="s">
        <v>55</v>
      </c>
      <c r="O18" t="s">
        <v>54</v>
      </c>
      <c r="P18" t="s">
        <v>54</v>
      </c>
      <c r="Q18" t="s">
        <v>56</v>
      </c>
      <c r="R18" t="s">
        <v>57</v>
      </c>
      <c r="S18" t="s">
        <v>57</v>
      </c>
      <c r="T18" t="s">
        <v>58</v>
      </c>
      <c r="U18" t="s">
        <v>59</v>
      </c>
    </row>
    <row r="19" spans="1:21" x14ac:dyDescent="0.35">
      <c r="A19" t="s">
        <v>16</v>
      </c>
      <c r="B19" t="str">
        <f t="shared" si="1"/>
        <v>96.62±0.23%</v>
      </c>
      <c r="C19" t="str">
        <f t="shared" si="2"/>
        <v>96.62±0.23%</v>
      </c>
      <c r="D19" t="str">
        <f t="shared" si="3"/>
        <v>96.62±0.23%</v>
      </c>
      <c r="E19" t="str">
        <f t="shared" si="4"/>
        <v>96.61±0.23%</v>
      </c>
      <c r="F19" t="str">
        <f t="shared" si="5"/>
        <v>93.49±0.44%</v>
      </c>
      <c r="G19" t="str">
        <f t="shared" si="6"/>
        <v>95.77±0.29%</v>
      </c>
      <c r="H19" t="str">
        <f t="shared" si="7"/>
        <v>95.77±0.29%</v>
      </c>
      <c r="I19" t="str">
        <f t="shared" si="8"/>
        <v>99.15±0.06%</v>
      </c>
      <c r="J19" t="str">
        <f t="shared" si="9"/>
        <v>99.82±0.04%</v>
      </c>
      <c r="L19" s="2" t="s">
        <v>17</v>
      </c>
      <c r="M19" t="s">
        <v>18</v>
      </c>
      <c r="N19" t="s">
        <v>18</v>
      </c>
      <c r="O19" t="s">
        <v>18</v>
      </c>
      <c r="P19" t="s">
        <v>18</v>
      </c>
      <c r="Q19" t="s">
        <v>19</v>
      </c>
      <c r="R19" t="s">
        <v>20</v>
      </c>
      <c r="S19" t="s">
        <v>20</v>
      </c>
      <c r="T19" t="s">
        <v>21</v>
      </c>
      <c r="U19" t="s">
        <v>22</v>
      </c>
    </row>
    <row r="20" spans="1:21" x14ac:dyDescent="0.35">
      <c r="A20" t="s">
        <v>17</v>
      </c>
      <c r="B20" t="str">
        <f t="shared" si="1"/>
        <v>98.00±0.12%</v>
      </c>
      <c r="C20" t="str">
        <f t="shared" si="2"/>
        <v>98.00±0.12%</v>
      </c>
      <c r="D20" t="str">
        <f t="shared" si="3"/>
        <v>98.00±0.12%</v>
      </c>
      <c r="E20" t="str">
        <f t="shared" si="4"/>
        <v>98.00±0.12%</v>
      </c>
      <c r="F20" t="str">
        <f t="shared" si="5"/>
        <v>96.09±0.22%</v>
      </c>
      <c r="G20" t="str">
        <f t="shared" si="6"/>
        <v>97.50±0.15%</v>
      </c>
      <c r="H20" t="str">
        <f t="shared" si="7"/>
        <v>97.50±0.15%</v>
      </c>
      <c r="I20" t="str">
        <f t="shared" si="8"/>
        <v>99.50±0.03%</v>
      </c>
      <c r="J20" t="str">
        <f t="shared" si="9"/>
        <v>99.92±0.03%</v>
      </c>
      <c r="L20" s="2" t="s">
        <v>15</v>
      </c>
      <c r="M20" t="s">
        <v>29</v>
      </c>
      <c r="N20" t="s">
        <v>30</v>
      </c>
      <c r="O20" t="s">
        <v>29</v>
      </c>
      <c r="P20" t="s">
        <v>29</v>
      </c>
      <c r="Q20" t="s">
        <v>31</v>
      </c>
      <c r="R20" t="s">
        <v>32</v>
      </c>
      <c r="S20" t="s">
        <v>32</v>
      </c>
      <c r="T20" t="s">
        <v>33</v>
      </c>
      <c r="U20" t="s">
        <v>22</v>
      </c>
    </row>
    <row r="21" spans="1:21" x14ac:dyDescent="0.35">
      <c r="L21" s="2"/>
    </row>
    <row r="22" spans="1:21" x14ac:dyDescent="0.35">
      <c r="M22" s="2" t="s">
        <v>69</v>
      </c>
      <c r="N22" s="2" t="s">
        <v>70</v>
      </c>
      <c r="O22" s="2" t="s">
        <v>71</v>
      </c>
      <c r="P22" s="3" t="s">
        <v>72</v>
      </c>
      <c r="Q22" s="2" t="s">
        <v>75</v>
      </c>
      <c r="R22" s="2" t="s">
        <v>73</v>
      </c>
      <c r="S22" s="2" t="s">
        <v>74</v>
      </c>
    </row>
    <row r="23" spans="1:21" x14ac:dyDescent="0.35">
      <c r="L23" t="s">
        <v>60</v>
      </c>
      <c r="M23" t="s">
        <v>23</v>
      </c>
      <c r="N23" t="s">
        <v>34</v>
      </c>
      <c r="O23" t="s">
        <v>48</v>
      </c>
      <c r="P23" t="s">
        <v>42</v>
      </c>
      <c r="Q23" t="s">
        <v>54</v>
      </c>
      <c r="R23" t="s">
        <v>18</v>
      </c>
      <c r="S23" t="s">
        <v>29</v>
      </c>
    </row>
    <row r="24" spans="1:21" x14ac:dyDescent="0.35">
      <c r="L24" t="s">
        <v>61</v>
      </c>
      <c r="M24" t="s">
        <v>23</v>
      </c>
      <c r="N24" t="s">
        <v>35</v>
      </c>
      <c r="O24" t="s">
        <v>49</v>
      </c>
      <c r="P24" t="s">
        <v>42</v>
      </c>
      <c r="Q24" t="s">
        <v>55</v>
      </c>
      <c r="R24" t="s">
        <v>18</v>
      </c>
      <c r="S24" t="s">
        <v>30</v>
      </c>
    </row>
    <row r="25" spans="1:21" x14ac:dyDescent="0.35">
      <c r="L25" t="s">
        <v>62</v>
      </c>
      <c r="M25" t="s">
        <v>23</v>
      </c>
      <c r="N25" t="s">
        <v>34</v>
      </c>
      <c r="O25" t="s">
        <v>48</v>
      </c>
      <c r="P25" t="s">
        <v>42</v>
      </c>
      <c r="Q25" t="s">
        <v>54</v>
      </c>
      <c r="R25" t="s">
        <v>18</v>
      </c>
      <c r="S25" t="s">
        <v>29</v>
      </c>
    </row>
    <row r="26" spans="1:21" x14ac:dyDescent="0.35">
      <c r="L26" t="s">
        <v>63</v>
      </c>
      <c r="M26" t="s">
        <v>24</v>
      </c>
      <c r="N26" t="s">
        <v>36</v>
      </c>
      <c r="O26" t="s">
        <v>48</v>
      </c>
      <c r="P26" t="s">
        <v>42</v>
      </c>
      <c r="Q26" t="s">
        <v>54</v>
      </c>
      <c r="R26" t="s">
        <v>18</v>
      </c>
      <c r="S26" t="s">
        <v>29</v>
      </c>
    </row>
    <row r="27" spans="1:21" x14ac:dyDescent="0.35">
      <c r="L27" t="s">
        <v>64</v>
      </c>
      <c r="M27" t="s">
        <v>25</v>
      </c>
      <c r="N27" t="s">
        <v>37</v>
      </c>
      <c r="O27" t="s">
        <v>50</v>
      </c>
      <c r="P27" t="s">
        <v>43</v>
      </c>
      <c r="Q27" t="s">
        <v>56</v>
      </c>
      <c r="R27" t="s">
        <v>19</v>
      </c>
      <c r="S27" t="s">
        <v>31</v>
      </c>
    </row>
    <row r="28" spans="1:21" x14ac:dyDescent="0.35">
      <c r="L28" t="s">
        <v>65</v>
      </c>
      <c r="M28" t="s">
        <v>26</v>
      </c>
      <c r="N28" t="s">
        <v>38</v>
      </c>
      <c r="O28" t="s">
        <v>51</v>
      </c>
      <c r="P28" t="s">
        <v>44</v>
      </c>
      <c r="Q28" t="s">
        <v>57</v>
      </c>
      <c r="R28" t="s">
        <v>20</v>
      </c>
      <c r="S28" t="s">
        <v>32</v>
      </c>
    </row>
    <row r="29" spans="1:21" x14ac:dyDescent="0.35">
      <c r="L29" t="s">
        <v>66</v>
      </c>
      <c r="M29" t="s">
        <v>26</v>
      </c>
      <c r="N29" t="s">
        <v>39</v>
      </c>
      <c r="O29" t="s">
        <v>51</v>
      </c>
      <c r="P29" t="s">
        <v>45</v>
      </c>
      <c r="Q29" t="s">
        <v>57</v>
      </c>
      <c r="R29" t="s">
        <v>20</v>
      </c>
      <c r="S29" t="s">
        <v>32</v>
      </c>
    </row>
    <row r="30" spans="1:21" x14ac:dyDescent="0.35">
      <c r="L30" s="4" t="s">
        <v>67</v>
      </c>
      <c r="M30" t="s">
        <v>27</v>
      </c>
      <c r="N30" t="s">
        <v>40</v>
      </c>
      <c r="O30" t="s">
        <v>52</v>
      </c>
      <c r="P30" t="s">
        <v>46</v>
      </c>
      <c r="Q30" t="s">
        <v>58</v>
      </c>
      <c r="R30" t="s">
        <v>21</v>
      </c>
      <c r="S30" t="s">
        <v>33</v>
      </c>
    </row>
    <row r="31" spans="1:21" x14ac:dyDescent="0.35">
      <c r="L31" s="4" t="s">
        <v>68</v>
      </c>
      <c r="M31" t="s">
        <v>28</v>
      </c>
      <c r="N31" t="s">
        <v>41</v>
      </c>
      <c r="O31" t="s">
        <v>53</v>
      </c>
      <c r="P31" t="s">
        <v>47</v>
      </c>
      <c r="Q31" t="s">
        <v>59</v>
      </c>
      <c r="R31" t="s">
        <v>22</v>
      </c>
      <c r="S3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Fold1</vt:lpstr>
      <vt:lpstr>Fold2</vt:lpstr>
      <vt:lpstr>Fold3</vt:lpstr>
      <vt:lpstr>Fold4</vt:lpstr>
      <vt:lpstr>Fold5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2026-01-28T10:23:49Z</dcterms:created>
  <dcterms:modified xsi:type="dcterms:W3CDTF">2026-01-30T14:36:48Z</dcterms:modified>
</cp:coreProperties>
</file>